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sa\Desktop\universita'\MAGISTRALE\2°ANNO\IPC\Esercitazioni assegnate\"/>
    </mc:Choice>
  </mc:AlternateContent>
  <xr:revisionPtr revIDLastSave="0" documentId="13_ncr:1_{90952557-A274-4978-BB79-78EBCAB1BBA9}" xr6:coauthVersionLast="47" xr6:coauthVersionMax="47" xr10:uidLastSave="{00000000-0000-0000-0000-000000000000}"/>
  <bookViews>
    <workbookView xWindow="-120" yWindow="-120" windowWidth="29040" windowHeight="15720" tabRatio="598" activeTab="2" xr2:uid="{00000000-000D-0000-FFFF-FFFF00000000}"/>
  </bookViews>
  <sheets>
    <sheet name="Properties" sheetId="21" r:id="rId1"/>
    <sheet name="Functions" sheetId="18" r:id="rId2"/>
    <sheet name="Design_IVCOG" sheetId="24" r:id="rId3"/>
  </sheets>
  <functionGroups builtInGroupCount="19"/>
  <calcPr calcId="191028"/>
</workbook>
</file>

<file path=xl/calcChain.xml><?xml version="1.0" encoding="utf-8"?>
<calcChain xmlns="http://schemas.openxmlformats.org/spreadsheetml/2006/main">
  <c r="N117" i="24" l="1"/>
  <c r="N94" i="24"/>
  <c r="N88" i="24"/>
  <c r="N92" i="24"/>
  <c r="N89" i="24"/>
  <c r="N91" i="24"/>
  <c r="N25" i="24"/>
  <c r="M31" i="24"/>
  <c r="N113" i="24"/>
  <c r="N85" i="24" l="1"/>
  <c r="N83" i="24"/>
  <c r="N71" i="24"/>
  <c r="N70" i="24"/>
  <c r="N72" i="24" s="1"/>
  <c r="N69" i="24"/>
  <c r="N67" i="24"/>
  <c r="N63" i="24"/>
  <c r="I36" i="24"/>
  <c r="I37" i="24"/>
  <c r="I38" i="24"/>
  <c r="I39" i="24"/>
  <c r="I40" i="24"/>
  <c r="I41" i="24"/>
  <c r="I35" i="24"/>
  <c r="I31" i="24"/>
  <c r="I29" i="24"/>
  <c r="I27" i="24"/>
  <c r="I26" i="24"/>
  <c r="J26" i="24"/>
  <c r="J27" i="24"/>
  <c r="J29" i="24"/>
  <c r="J31" i="24"/>
  <c r="J38" i="24"/>
  <c r="J37" i="24"/>
  <c r="J36" i="24"/>
  <c r="J35" i="24"/>
  <c r="J41" i="24"/>
  <c r="J40" i="24"/>
  <c r="J39" i="24"/>
  <c r="I34" i="24"/>
  <c r="I33" i="24"/>
  <c r="I30" i="24"/>
  <c r="J30" i="24"/>
  <c r="I32" i="24"/>
  <c r="I25" i="24"/>
  <c r="I28" i="24"/>
  <c r="J33" i="24"/>
  <c r="J32" i="24"/>
  <c r="J34" i="24"/>
  <c r="J28" i="24"/>
  <c r="U38" i="24"/>
  <c r="N73" i="24" l="1"/>
  <c r="N74" i="24"/>
  <c r="K37" i="24"/>
  <c r="K38" i="24" s="1"/>
  <c r="K39" i="24" s="1"/>
  <c r="K35" i="24"/>
  <c r="K36" i="24" s="1"/>
  <c r="L34" i="24"/>
  <c r="L33" i="24"/>
  <c r="K34" i="24"/>
  <c r="K33" i="24"/>
  <c r="K31" i="24"/>
  <c r="K32" i="24" s="1"/>
  <c r="K29" i="24"/>
  <c r="K30" i="24" s="1"/>
  <c r="K28" i="24"/>
  <c r="K27" i="24"/>
  <c r="K26" i="24"/>
  <c r="L25" i="24"/>
  <c r="K25" i="24"/>
  <c r="K41" i="24" s="1"/>
  <c r="M33" i="24" a="1"/>
  <c r="M25" i="24" a="1"/>
  <c r="P25" i="24" a="1"/>
  <c r="M39" i="24" a="1"/>
  <c r="P33" i="24" a="1"/>
  <c r="N34" i="24" a="1"/>
  <c r="P34" i="24" a="1"/>
  <c r="L39" i="24" a="1"/>
  <c r="M34" i="24" a="1"/>
  <c r="N33" i="24" a="1"/>
  <c r="U39" i="24" l="1"/>
  <c r="L39" i="24"/>
  <c r="K40" i="24"/>
  <c r="M39" i="24"/>
  <c r="M34" i="24"/>
  <c r="N34" i="24"/>
  <c r="N37" i="24" s="1"/>
  <c r="P34" i="24"/>
  <c r="N33" i="24"/>
  <c r="N35" i="24" s="1"/>
  <c r="P33" i="24"/>
  <c r="M33" i="24"/>
  <c r="M25" i="24"/>
  <c r="M26" i="24" s="1"/>
  <c r="P25" i="24"/>
  <c r="O25" i="24" a="1"/>
  <c r="P35" i="24" a="1"/>
  <c r="O39" i="24" a="1"/>
  <c r="L37" i="24" a="1"/>
  <c r="P39" i="24" a="1"/>
  <c r="N39" i="24" a="1"/>
  <c r="O34" i="24" a="1"/>
  <c r="O33" i="24" a="1"/>
  <c r="M35" i="24" a="1"/>
  <c r="N26" i="24" a="1"/>
  <c r="O37" i="24" a="1"/>
  <c r="P37" i="24" a="1"/>
  <c r="L35" i="24" a="1"/>
  <c r="O35" i="24" a="1"/>
  <c r="O26" i="24" a="1"/>
  <c r="M37" i="24" a="1"/>
  <c r="N45" i="24" l="1"/>
  <c r="N55" i="24" s="1"/>
  <c r="P39" i="24"/>
  <c r="O39" i="24"/>
  <c r="N39" i="24"/>
  <c r="N40" i="24" s="1"/>
  <c r="N26" i="24"/>
  <c r="O26" i="24"/>
  <c r="P35" i="24"/>
  <c r="L35" i="24"/>
  <c r="O35" i="24"/>
  <c r="M35" i="24"/>
  <c r="M36" i="24" s="1"/>
  <c r="M37" i="24"/>
  <c r="M38" i="24" s="1"/>
  <c r="L37" i="24"/>
  <c r="O37" i="24"/>
  <c r="P37" i="24"/>
  <c r="O34" i="24"/>
  <c r="O33" i="24"/>
  <c r="O25" i="24"/>
  <c r="M40" i="24" a="1"/>
  <c r="P38" i="24" a="1"/>
  <c r="O36" i="24" a="1"/>
  <c r="L38" i="24" a="1"/>
  <c r="O40" i="24" a="1"/>
  <c r="P36" i="24" a="1"/>
  <c r="N38" i="24" a="1"/>
  <c r="P40" i="24" a="1"/>
  <c r="L36" i="24" a="1"/>
  <c r="O38" i="24" a="1"/>
  <c r="L40" i="24" a="1"/>
  <c r="N36" i="24" a="1"/>
  <c r="N46" i="24" l="1"/>
  <c r="O40" i="24"/>
  <c r="P40" i="24"/>
  <c r="M40" i="24"/>
  <c r="M41" i="24" s="1"/>
  <c r="N47" i="24" s="1"/>
  <c r="N57" i="24" s="1"/>
  <c r="L40" i="24"/>
  <c r="N27" i="24"/>
  <c r="N29" i="24"/>
  <c r="P36" i="24"/>
  <c r="N36" i="24"/>
  <c r="O36" i="24"/>
  <c r="L36" i="24"/>
  <c r="L38" i="24"/>
  <c r="O38" i="24"/>
  <c r="P38" i="24"/>
  <c r="N38" i="24"/>
  <c r="C28" i="24"/>
  <c r="C14" i="24"/>
  <c r="L26" i="24" s="1"/>
  <c r="L29" i="24" a="1"/>
  <c r="P27" i="24" a="1"/>
  <c r="N41" i="24" a="1"/>
  <c r="P29" i="24" a="1"/>
  <c r="P41" i="24" a="1"/>
  <c r="O29" i="24" a="1"/>
  <c r="O27" i="24" a="1"/>
  <c r="M27" i="24" a="1"/>
  <c r="L41" i="24" a="1"/>
  <c r="M29" i="24" a="1"/>
  <c r="O41" i="24" a="1"/>
  <c r="L27" i="24" a="1"/>
  <c r="P26" i="24" a="1"/>
  <c r="N56" i="24" l="1"/>
  <c r="N58" i="24" s="1"/>
  <c r="N48" i="24"/>
  <c r="L29" i="24"/>
  <c r="P29" i="24"/>
  <c r="O29" i="24"/>
  <c r="M29" i="24"/>
  <c r="M30" i="24" s="1"/>
  <c r="U40" i="24" s="1"/>
  <c r="U41" i="24" s="1"/>
  <c r="L41" i="24"/>
  <c r="O41" i="24"/>
  <c r="P41" i="24"/>
  <c r="N41" i="24"/>
  <c r="P27" i="24"/>
  <c r="O27" i="24"/>
  <c r="M27" i="24"/>
  <c r="M28" i="24" s="1"/>
  <c r="L27" i="24"/>
  <c r="P26" i="24"/>
  <c r="G26" i="21"/>
  <c r="F12" i="18"/>
  <c r="C26" i="21"/>
  <c r="F76" i="18"/>
  <c r="C12" i="21"/>
  <c r="F56" i="18"/>
  <c r="F51" i="18"/>
  <c r="F26" i="18"/>
  <c r="F95" i="18"/>
  <c r="F19" i="18"/>
  <c r="G15" i="21"/>
  <c r="F111" i="18"/>
  <c r="F41" i="18"/>
  <c r="F34" i="18"/>
  <c r="F21" i="18"/>
  <c r="F32" i="18"/>
  <c r="F53" i="18"/>
  <c r="F14" i="18"/>
  <c r="C23" i="21"/>
  <c r="F61" i="18"/>
  <c r="F10" i="18"/>
  <c r="F57" i="18"/>
  <c r="F42" i="18"/>
  <c r="F63" i="18"/>
  <c r="G23" i="21"/>
  <c r="F103" i="18"/>
  <c r="F48" i="18"/>
  <c r="F15" i="18"/>
  <c r="F30" i="18"/>
  <c r="F69" i="18"/>
  <c r="F65" i="18"/>
  <c r="F20" i="18"/>
  <c r="F11" i="18"/>
  <c r="F28" i="18"/>
  <c r="F47" i="18"/>
  <c r="F38" i="18"/>
  <c r="F55" i="18"/>
  <c r="F80" i="18"/>
  <c r="F86" i="18"/>
  <c r="G11" i="21"/>
  <c r="F9" i="18"/>
  <c r="F33" i="18"/>
  <c r="F40" i="18"/>
  <c r="F25" i="18"/>
  <c r="G22" i="21"/>
  <c r="F16" i="18"/>
  <c r="F68" i="18"/>
  <c r="F46" i="18"/>
  <c r="F60" i="18"/>
  <c r="F22" i="18"/>
  <c r="F52" i="18"/>
  <c r="F39" i="18"/>
  <c r="F71" i="18"/>
  <c r="F87" i="18"/>
  <c r="F106" i="18"/>
  <c r="G24" i="21"/>
  <c r="F94" i="18"/>
  <c r="G16" i="21"/>
  <c r="F81" i="18"/>
  <c r="F29" i="18"/>
  <c r="F79" i="18"/>
  <c r="C11" i="21"/>
  <c r="C16" i="21"/>
  <c r="F31" i="18"/>
  <c r="F78" i="18"/>
  <c r="C28" i="21"/>
  <c r="F23" i="18"/>
  <c r="F44" i="18"/>
  <c r="G25" i="21"/>
  <c r="G8" i="21"/>
  <c r="F100" i="18"/>
  <c r="G12" i="21"/>
  <c r="F54" i="18"/>
  <c r="F64" i="18"/>
  <c r="G14" i="21"/>
  <c r="F97" i="18"/>
  <c r="C22" i="21"/>
  <c r="F67" i="18"/>
  <c r="G10" i="21"/>
  <c r="F70" i="18"/>
  <c r="F73" i="18"/>
  <c r="F36" i="18"/>
  <c r="F37" i="18"/>
  <c r="C29" i="21"/>
  <c r="C10" i="21"/>
  <c r="C24" i="21"/>
  <c r="C8" i="21"/>
  <c r="F24" i="18"/>
  <c r="F90" i="18"/>
  <c r="F85" i="18"/>
  <c r="F77" i="18"/>
  <c r="F104" i="18"/>
  <c r="G28" i="21"/>
  <c r="F75" i="18"/>
  <c r="F98" i="18"/>
  <c r="F96" i="18"/>
  <c r="F18" i="18"/>
  <c r="F107" i="18"/>
  <c r="F59" i="18"/>
  <c r="C14" i="21"/>
  <c r="F45" i="18"/>
  <c r="F99" i="18"/>
  <c r="G29" i="21"/>
  <c r="F112" i="18"/>
  <c r="F91" i="18"/>
  <c r="F62" i="18"/>
  <c r="F72" i="18"/>
  <c r="C15" i="21"/>
  <c r="L30" i="24" a="1"/>
  <c r="O28" i="24" a="1"/>
  <c r="P30" i="24" a="1"/>
  <c r="P28" i="24" a="1"/>
  <c r="N30" i="24" a="1"/>
  <c r="L28" i="24" a="1"/>
  <c r="N28" i="24" a="1"/>
  <c r="O30" i="24" a="1"/>
  <c r="N49" i="24" l="1"/>
  <c r="L28" i="24"/>
  <c r="P28" i="24"/>
  <c r="O28" i="24"/>
  <c r="N28" i="24"/>
  <c r="P30" i="24"/>
  <c r="O30" i="24"/>
  <c r="N30" i="24"/>
  <c r="N31" i="24" s="1"/>
  <c r="L30" i="24"/>
  <c r="C17" i="21"/>
  <c r="G17" i="21"/>
  <c r="D49" i="18"/>
  <c r="C27" i="21"/>
  <c r="G27" i="21"/>
  <c r="C25" i="21"/>
  <c r="F49" i="18"/>
  <c r="L31" i="24" a="1"/>
  <c r="O31" i="24" a="1"/>
  <c r="P31" i="24" a="1"/>
  <c r="L31" i="24" l="1"/>
  <c r="M32" i="24"/>
  <c r="P31" i="24"/>
  <c r="O31" i="24"/>
  <c r="L32" i="24" a="1"/>
  <c r="O32" i="24" a="1"/>
  <c r="P32" i="24" a="1"/>
  <c r="N32" i="24" a="1"/>
  <c r="N95" i="24" l="1"/>
  <c r="N97" i="24" s="1"/>
  <c r="N105" i="24" s="1"/>
  <c r="N50" i="24"/>
  <c r="N51" i="24" s="1"/>
  <c r="N64" i="24"/>
  <c r="N65" i="24" s="1"/>
  <c r="L32" i="24"/>
  <c r="O32" i="24"/>
  <c r="N32" i="24"/>
  <c r="P32" i="24"/>
  <c r="N59" i="24" l="1"/>
  <c r="N53" i="24"/>
  <c r="N86" i="24" s="1"/>
  <c r="N103" i="24" l="1"/>
  <c r="N99" i="24"/>
  <c r="N61" i="24"/>
  <c r="N75" i="24" s="1"/>
  <c r="N77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<sst xmlns="http://schemas.openxmlformats.org/spreadsheetml/2006/main" count="770" uniqueCount="443">
  <si>
    <t>X Steam Tables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</si>
  <si>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</si>
  <si>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</si>
  <si>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</si>
  <si>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The steam tables are free and provided as is. We take no responsibilities for any errors in the code or damage thereby.</t>
  </si>
  <si>
    <t>www.x-eng.com</t>
  </si>
  <si>
    <t>OBS: This workbook uses macros. Set security options in Tools:Macro:Security… to enable macros.</t>
  </si>
  <si>
    <t>Saturation properties given temperature</t>
  </si>
  <si>
    <t>Saturation properties given pressure</t>
  </si>
  <si>
    <t>Temperature</t>
  </si>
  <si>
    <t>°C</t>
  </si>
  <si>
    <t>Pressure</t>
  </si>
  <si>
    <t>bar a</t>
  </si>
  <si>
    <t>Saturation pressure</t>
  </si>
  <si>
    <t>Saturation temperature</t>
  </si>
  <si>
    <t>Liquid</t>
  </si>
  <si>
    <t>Enthalpy</t>
  </si>
  <si>
    <t>kJ/kg</t>
  </si>
  <si>
    <t>Density</t>
  </si>
  <si>
    <t>kg/m3</t>
  </si>
  <si>
    <t>Entropy</t>
  </si>
  <si>
    <t>kJ/kgK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</si>
  <si>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</si>
  <si>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</si>
  <si>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</si>
  <si>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</si>
  <si>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</si>
  <si>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</si>
  <si>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</si>
  <si>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</si>
  <si>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Vapour fraction</t>
  </si>
  <si>
    <t>%</t>
  </si>
  <si>
    <t>IF97 Region</t>
  </si>
  <si>
    <t>Phase</t>
  </si>
  <si>
    <t xml:space="preserve">Isobaric heat capacity </t>
  </si>
  <si>
    <t>Speed of sound</t>
  </si>
  <si>
    <t>m/s</t>
  </si>
  <si>
    <t>v2.6</t>
  </si>
  <si>
    <t>http://www.x-eng.com</t>
  </si>
  <si>
    <t xml:space="preserve">Steam tables by Magnus Holmgren according to IAPWS IF-97 </t>
  </si>
  <si>
    <t>The excel scripts are stored inside this workbook. (No extra files are needed. Start from a copy of this workbook. This page can be removed)</t>
  </si>
  <si>
    <t>For error-reporting, feedback, other units etc. contact:</t>
  </si>
  <si>
    <t>magnus@x-eng.com</t>
  </si>
  <si>
    <t xml:space="preserve"> Tsat_p</t>
  </si>
  <si>
    <t>bar</t>
  </si>
  <si>
    <t xml:space="preserve"> T_ph</t>
  </si>
  <si>
    <t>Temperture as a function of pressure and enthalpy</t>
  </si>
  <si>
    <t xml:space="preserve"> T_ps</t>
  </si>
  <si>
    <t>kJ/(kg K)</t>
  </si>
  <si>
    <t>Temperture as a function of pressure and entropy</t>
  </si>
  <si>
    <t xml:space="preserve"> T_hs</t>
  </si>
  <si>
    <t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</si>
  <si>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</si>
  <si>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</si>
  <si>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</si>
  <si>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</si>
  <si>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>Pressure as a function of h and rho (density). Very unaccurate for solid water region since it's almost incompressible!</t>
  </si>
  <si>
    <t xml:space="preserve"> hV_p</t>
  </si>
  <si>
    <t>Saturated vapour enthalpy</t>
  </si>
  <si>
    <t xml:space="preserve"> hL_p</t>
  </si>
  <si>
    <t>Saturated liquid enthalpy</t>
  </si>
  <si>
    <t xml:space="preserve"> hV_T</t>
  </si>
  <si>
    <t xml:space="preserve"> hL_T</t>
  </si>
  <si>
    <t xml:space="preserve"> h_pT</t>
  </si>
  <si>
    <t>Entalpy as a function of pressure and temperature.</t>
  </si>
  <si>
    <t xml:space="preserve"> h_ps</t>
  </si>
  <si>
    <t>Entalpy as a function of pressure and entropy.</t>
  </si>
  <si>
    <t xml:space="preserve"> h_px</t>
  </si>
  <si>
    <t>Entalpy as a function of pressure and vapour fraction</t>
  </si>
  <si>
    <t xml:space="preserve"> h_Tx</t>
  </si>
  <si>
    <t>Entalpy as a function of temperature and vapour fraction</t>
  </si>
  <si>
    <t xml:space="preserve"> h_prho</t>
  </si>
  <si>
    <t>Entalpy as a function of pressure and density. Observe for low temperatures (liquid) this equation has 2 solutions. (Not valid!!)</t>
  </si>
  <si>
    <t>Specific volume</t>
  </si>
  <si>
    <t xml:space="preserve"> vV_p</t>
  </si>
  <si>
    <t>m3/kg</t>
  </si>
  <si>
    <t>Saturated vapour volume</t>
  </si>
  <si>
    <t xml:space="preserve"> vL_p</t>
  </si>
  <si>
    <t>Saturated liquid volume</t>
  </si>
  <si>
    <t xml:space="preserve"> vV_T</t>
  </si>
  <si>
    <t xml:space="preserve"> vL_T</t>
  </si>
  <si>
    <t xml:space="preserve"> v_pT</t>
  </si>
  <si>
    <t>Specific volume as a function of pressure and temperature.</t>
  </si>
  <si>
    <t xml:space="preserve"> v_ph</t>
  </si>
  <si>
    <t>Specific volume as a function of pressure and enthalpy</t>
  </si>
  <si>
    <t xml:space="preserve"> v_ps</t>
  </si>
  <si>
    <t>Specific volume as a function of pressure and entropy.</t>
  </si>
  <si>
    <t xml:space="preserve"> rhoV_p</t>
  </si>
  <si>
    <t>Saturated vapour density</t>
  </si>
  <si>
    <t xml:space="preserve"> rhoL_p</t>
  </si>
  <si>
    <t>Saturated liquid density</t>
  </si>
  <si>
    <t xml:space="preserve"> rhoV_T</t>
  </si>
  <si>
    <t xml:space="preserve"> rhoL_T</t>
  </si>
  <si>
    <t xml:space="preserve"> rho_pT</t>
  </si>
  <si>
    <t>Density as a function of pressure and temperature.</t>
  </si>
  <si>
    <t xml:space="preserve"> rho_ph</t>
  </si>
  <si>
    <t>Density as a function of pressure and enthalpy</t>
  </si>
  <si>
    <t xml:space="preserve"> rho_ps</t>
  </si>
  <si>
    <t>Density as a function of pressure and entropy.</t>
  </si>
  <si>
    <t xml:space="preserve">Specific entropy </t>
  </si>
  <si>
    <t xml:space="preserve"> sV_p</t>
  </si>
  <si>
    <t>Saturated vapour entropy</t>
  </si>
  <si>
    <t xml:space="preserve"> sL_p</t>
  </si>
  <si>
    <t>Saturated liquid entropy</t>
  </si>
  <si>
    <t xml:space="preserve"> sV_T</t>
  </si>
  <si>
    <t xml:space="preserve"> sL_T</t>
  </si>
  <si>
    <t xml:space="preserve"> s_pT</t>
  </si>
  <si>
    <t>Specific entropy as a function of pressure and temperature (Returns saturated vapour entalpy if mixture.)</t>
  </si>
  <si>
    <t xml:space="preserve"> s_ph</t>
  </si>
  <si>
    <t>Specific entropy as a function of pressure and enthalpy</t>
  </si>
  <si>
    <t xml:space="preserve">Specific internal energy </t>
  </si>
  <si>
    <t xml:space="preserve"> uV_p</t>
  </si>
  <si>
    <t>Saturated vapour internal energy</t>
  </si>
  <si>
    <t xml:space="preserve"> uL_p</t>
  </si>
  <si>
    <t>Saturated liquid internal energy</t>
  </si>
  <si>
    <t xml:space="preserve"> uV_T</t>
  </si>
  <si>
    <t xml:space="preserve"> uL_T</t>
  </si>
  <si>
    <t xml:space="preserve"> u_pT</t>
  </si>
  <si>
    <t>Specific internal energy as a function of pressure and temperature.</t>
  </si>
  <si>
    <t xml:space="preserve"> u_ph</t>
  </si>
  <si>
    <t>Specific internal energy as a function of pressure and enthalpy</t>
  </si>
  <si>
    <t xml:space="preserve"> u_ps</t>
  </si>
  <si>
    <t>Specific internal energy as a function of pressure and entropy.</t>
  </si>
  <si>
    <t xml:space="preserve">Specific isobaric heat capacity </t>
  </si>
  <si>
    <t xml:space="preserve"> CpV_p</t>
  </si>
  <si>
    <t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</si>
  <si>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</si>
  <si>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</si>
  <si>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</si>
  <si>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</si>
  <si>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</si>
  <si>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</si>
  <si>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>Specific isobaric heat capacity as a function of pressure and temperature.</t>
  </si>
  <si>
    <t xml:space="preserve"> Cp_ph</t>
  </si>
  <si>
    <t>Specific isobaric heat capacity as a function of pressure and enthalpy</t>
  </si>
  <si>
    <t xml:space="preserve"> Cp_ps</t>
  </si>
  <si>
    <t>Specific isobaric heat capacity as a function of pressure and entropy.</t>
  </si>
  <si>
    <t xml:space="preserve">Specific isochoric heat capacity </t>
  </si>
  <si>
    <t xml:space="preserve"> CvV_p</t>
  </si>
  <si>
    <t>Saturated vapour isochoric heat capacity</t>
  </si>
  <si>
    <t xml:space="preserve"> CvL_p</t>
  </si>
  <si>
    <t>Saturated liquid isochoric heat capacity</t>
  </si>
  <si>
    <t xml:space="preserve"> CvV_T</t>
  </si>
  <si>
    <t xml:space="preserve"> CvL_T</t>
  </si>
  <si>
    <t xml:space="preserve"> Cv_pT</t>
  </si>
  <si>
    <t>Specific isochoric heat capacity as a function of pressure and temperature.</t>
  </si>
  <si>
    <t xml:space="preserve"> Cv_ph</t>
  </si>
  <si>
    <t>Specific isochoric heat capacity as a function of pressure and enthalpy</t>
  </si>
  <si>
    <t xml:space="preserve"> Cv_ps</t>
  </si>
  <si>
    <t>Specific isochoric heat capacity as a function of pressure and entropy.</t>
  </si>
  <si>
    <t xml:space="preserve">Speed of sound </t>
  </si>
  <si>
    <t xml:space="preserve"> wV_p</t>
  </si>
  <si>
    <t>Saturated vapour speed of sound</t>
  </si>
  <si>
    <t xml:space="preserve"> wL_p</t>
  </si>
  <si>
    <t>Saturated liquid speed of sound</t>
  </si>
  <si>
    <t xml:space="preserve"> wV_T</t>
  </si>
  <si>
    <t xml:space="preserve"> wL_T</t>
  </si>
  <si>
    <t xml:space="preserve"> w_pT</t>
  </si>
  <si>
    <t>Speed of sound as a function of pressure and temperature.</t>
  </si>
  <si>
    <t xml:space="preserve"> w_ph</t>
  </si>
  <si>
    <t>Speed of sound as a function of pressure and enthalpy</t>
  </si>
  <si>
    <t xml:space="preserve"> w_ps</t>
  </si>
  <si>
    <t>Speed of sound as a function of pressure and entropy.</t>
  </si>
  <si>
    <t>Dynamic Viscosity</t>
  </si>
  <si>
    <t>Viscosity is not part of IAPWS Steam IF97. Equations from "Revised Release on the IAPWS Formulation 1985 for the Viscosity of Ordinary Water Substance", 2003 are used.</t>
  </si>
  <si>
    <t>Viscosity in the mixed region (4) is interpolated according to the density. This is not true since it will be two fases.</t>
  </si>
  <si>
    <t xml:space="preserve"> my_pT</t>
  </si>
  <si>
    <t>Pa s</t>
  </si>
  <si>
    <t>Viscosity as a function of pressure and temperature.</t>
  </si>
  <si>
    <t xml:space="preserve"> my_ph</t>
  </si>
  <si>
    <t>Viscosity as a function of pressure and enthalpy</t>
  </si>
  <si>
    <t xml:space="preserve"> my_ps</t>
  </si>
  <si>
    <t>Viscosity as a function of pressure and entropy.</t>
  </si>
  <si>
    <t>Prandtl</t>
  </si>
  <si>
    <t>Calcualted as Cp*my/tc</t>
  </si>
  <si>
    <t xml:space="preserve"> pr_pT</t>
  </si>
  <si>
    <t>-</t>
  </si>
  <si>
    <t xml:space="preserve"> pr_ph</t>
  </si>
  <si>
    <t>Thermal Conductivity</t>
  </si>
  <si>
    <t>Revised release on the IAPS Formulation 1985 for the Thermal Conductivity of ordinary water substance (IAPWS 1998)</t>
  </si>
  <si>
    <t xml:space="preserve"> tcL_p</t>
  </si>
  <si>
    <t>W/(m K)</t>
  </si>
  <si>
    <t>Saturated vapour thermal conductivity</t>
  </si>
  <si>
    <t xml:space="preserve"> tcV_p</t>
  </si>
  <si>
    <t>Saturated liquid thermal conductivity</t>
  </si>
  <si>
    <t xml:space="preserve"> tcL_T</t>
  </si>
  <si>
    <t xml:space="preserve"> tcV_T</t>
  </si>
  <si>
    <t xml:space="preserve"> tc_pT</t>
  </si>
  <si>
    <t>Thermal conductivity as a function of pressure and temperature.</t>
  </si>
  <si>
    <t xml:space="preserve"> tc_ph</t>
  </si>
  <si>
    <t>Thermal conductivity as a function of pressure and enthalpy</t>
  </si>
  <si>
    <t xml:space="preserve"> tc_hs</t>
  </si>
  <si>
    <t>Thermal conductivity as a function of enthalpy and entropy</t>
  </si>
  <si>
    <t>Surface Tension</t>
  </si>
  <si>
    <t>IAPWS Release on Surface Tension of Ordinary Water Substance, September 1994</t>
  </si>
  <si>
    <t xml:space="preserve"> st_T</t>
  </si>
  <si>
    <t>N/m</t>
  </si>
  <si>
    <t>Surface tension for two phase water/steam as a function of T</t>
  </si>
  <si>
    <t xml:space="preserve"> st_p</t>
  </si>
  <si>
    <t xml:space="preserve"> x_ph</t>
  </si>
  <si>
    <t>Vapour fraction as a function of pressure and enthalpy</t>
  </si>
  <si>
    <t xml:space="preserve"> x_ps</t>
  </si>
  <si>
    <t>Vapour fraction as a function of pressure and entropy.</t>
  </si>
  <si>
    <t>Vapour Volume Fraction</t>
  </si>
  <si>
    <t>Observe that vapour volume fraction is very sensitive. Vapour volume is about 1000 times greater than liquid volume and therfore vapour volume fraction</t>
  </si>
  <si>
    <t>gets close to the accurancy of steam IF-97</t>
  </si>
  <si>
    <t xml:space="preserve"> vx_ph</t>
  </si>
  <si>
    <t>Vapour volume fraction as a function of pressure and enthalpy</t>
  </si>
  <si>
    <t xml:space="preserve"> vx_ps</t>
  </si>
  <si>
    <t>Vapour volume fraction as a function of pressure and entropy.</t>
  </si>
  <si>
    <t>Version history</t>
  </si>
  <si>
    <t>News in V2.6</t>
  </si>
  <si>
    <t>* Error in valid region for function tc_ptrho</t>
  </si>
  <si>
    <t>* Error in function h3_pt for temperatures near the saturation point.</t>
  </si>
  <si>
    <t>News in V2.5</t>
  </si>
  <si>
    <t>* DLL distrubution for use in other applications</t>
  </si>
  <si>
    <t>* Freebasic translation</t>
  </si>
  <si>
    <t>* Fixed small error in Cv Region 5 p&gt;1000bar</t>
  </si>
  <si>
    <t>News in V2.4a</t>
  </si>
  <si>
    <t>* ToSIUnit for h_ps region 4. (No effect in SI unit version).</t>
  </si>
  <si>
    <t>News in V2.4</t>
  </si>
  <si>
    <t>* Functions by p,rho inplemented in matlab also.</t>
  </si>
  <si>
    <t>* Many missing ; in matlab causing printouts detected.</t>
  </si>
  <si>
    <t>* OpenOffice version introduced. (Fixed calculation differences in open office and excel)</t>
  </si>
  <si>
    <t>* Matlab error giving varaible undefined in some backwards solutions fixed.</t>
  </si>
  <si>
    <t>News in V2.3</t>
  </si>
  <si>
    <t>* Option Explicit, gives more efficient calculations.</t>
  </si>
  <si>
    <t>* Extensive testing</t>
  </si>
  <si>
    <t>* my_ph not defined in region 4.</t>
  </si>
  <si>
    <t>* Problems at region border for h4V_p to adress solver problems at the exact border.</t>
  </si>
  <si>
    <t>* Problem at fast border check in region_ph fixed.</t>
  </si>
  <si>
    <t>News in V2.2</t>
  </si>
  <si>
    <t>* Fixed error in Cp_ph</t>
  </si>
  <si>
    <t>* Function p_hrho added. (Very good for calcualting pressure when heating a volume with water/steam mixture.)</t>
  </si>
  <si>
    <t>* Fixed error in T_hs return no value for vet region bellow the water saturation line.</t>
  </si>
  <si>
    <t>* Prandtl number added</t>
  </si>
  <si>
    <t>News in V2.1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</si>
  <si>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</si>
  <si>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</si>
  <si>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</si>
  <si>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</si>
  <si>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* Calling functions of h and s added.</t>
  </si>
  <si>
    <t>* Thermal conductivity, Surface tension added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</si>
  <si>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</si>
  <si>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</si>
  <si>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</si>
  <si>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kg/s</t>
  </si>
  <si>
    <t>condizioni sh</t>
  </si>
  <si>
    <t>p_SH</t>
  </si>
  <si>
    <t>T_SH</t>
  </si>
  <si>
    <t>p_sp1</t>
  </si>
  <si>
    <t>p_sp2</t>
  </si>
  <si>
    <t>eta_I</t>
  </si>
  <si>
    <t>eta_II</t>
  </si>
  <si>
    <t>p1</t>
  </si>
  <si>
    <t>t1</t>
  </si>
  <si>
    <t>p6</t>
  </si>
  <si>
    <t>p2</t>
  </si>
  <si>
    <t>p3</t>
  </si>
  <si>
    <t>p4</t>
  </si>
  <si>
    <t>p5</t>
  </si>
  <si>
    <t>Hi</t>
  </si>
  <si>
    <t>GVC</t>
  </si>
  <si>
    <t>eta_GVC</t>
  </si>
  <si>
    <t>3is</t>
  </si>
  <si>
    <t>4is</t>
  </si>
  <si>
    <t>5is</t>
  </si>
  <si>
    <t>MJ/kg</t>
  </si>
  <si>
    <t>8id</t>
  </si>
  <si>
    <t>11id</t>
  </si>
  <si>
    <t>espansioni turbina</t>
  </si>
  <si>
    <t>eta_elmTV</t>
  </si>
  <si>
    <t>eta_elmpompe</t>
  </si>
  <si>
    <t>pressioni</t>
  </si>
  <si>
    <t>t2</t>
  </si>
  <si>
    <t>rendimenti TV e pompe</t>
  </si>
  <si>
    <t>eta_idrpompe</t>
  </si>
  <si>
    <t>t6</t>
  </si>
  <si>
    <t>p7</t>
  </si>
  <si>
    <t>t7</t>
  </si>
  <si>
    <t>e</t>
  </si>
  <si>
    <t>Portate</t>
  </si>
  <si>
    <t>m_ut1</t>
  </si>
  <si>
    <t>m_ut2</t>
  </si>
  <si>
    <t>9id</t>
  </si>
  <si>
    <t>ESERCITAZIONE N.1</t>
  </si>
  <si>
    <t>condizioni nominali: 08.00-20.00</t>
  </si>
  <si>
    <t>UT1</t>
  </si>
  <si>
    <t>richiesta termica destinata a processi ospedalieri</t>
  </si>
  <si>
    <t>UT2</t>
  </si>
  <si>
    <t>richiesta termica destinata a teleriscaldamento</t>
  </si>
  <si>
    <t>DATI:</t>
  </si>
  <si>
    <t>rendimenti tronchi di espansione</t>
  </si>
  <si>
    <t>peso molecolare</t>
  </si>
  <si>
    <t>% massica</t>
  </si>
  <si>
    <t>C</t>
  </si>
  <si>
    <t>H2</t>
  </si>
  <si>
    <t>O2</t>
  </si>
  <si>
    <t>H2O</t>
  </si>
  <si>
    <t>ritorni condense</t>
  </si>
  <si>
    <t>combustibile</t>
  </si>
  <si>
    <t>kg/kmol</t>
  </si>
  <si>
    <t xml:space="preserve"> </t>
  </si>
  <si>
    <t xml:space="preserve">compressioni </t>
  </si>
  <si>
    <t>degasatore</t>
  </si>
  <si>
    <t>lavoro di compressione 6-8</t>
  </si>
  <si>
    <t>lavoro di compressione 7-9</t>
  </si>
  <si>
    <t>verifica portata</t>
  </si>
  <si>
    <t>portata al gvc di tentativo</t>
  </si>
  <si>
    <t>m4 tramite bilancio portata TV</t>
  </si>
  <si>
    <t>m4 tramite bilancio deg</t>
  </si>
  <si>
    <t>errore</t>
  </si>
  <si>
    <t>Prestazioni in condizioni di progetto</t>
  </si>
  <si>
    <t>compressione</t>
  </si>
  <si>
    <t>lavoro di espansione I</t>
  </si>
  <si>
    <t>lavoro di espansione II</t>
  </si>
  <si>
    <t>lavoro termodinamico</t>
  </si>
  <si>
    <t>KJ/kg_GVC</t>
  </si>
  <si>
    <t>portata m/m1</t>
  </si>
  <si>
    <t>portata m</t>
  </si>
  <si>
    <t>pressione p</t>
  </si>
  <si>
    <t>temperatura T</t>
  </si>
  <si>
    <t>entalpia h</t>
  </si>
  <si>
    <t>entropia s</t>
  </si>
  <si>
    <t>titolo x</t>
  </si>
  <si>
    <t>volume specifico v</t>
  </si>
  <si>
    <t>[kg/kg_GVC]</t>
  </si>
  <si>
    <t>[kg/s]</t>
  </si>
  <si>
    <t>[bar]</t>
  </si>
  <si>
    <t>[°C]</t>
  </si>
  <si>
    <t>[kJ/kg]</t>
  </si>
  <si>
    <t>[kJ/kgK]</t>
  </si>
  <si>
    <t>[m3/kg]</t>
  </si>
  <si>
    <t>lavoro di compressione PA 10-11</t>
  </si>
  <si>
    <t>potenza richiesta dalla pompa 6-8</t>
  </si>
  <si>
    <t>lavoro specifico di compressione</t>
  </si>
  <si>
    <t>lavoro specifico di espansione</t>
  </si>
  <si>
    <t>MW</t>
  </si>
  <si>
    <t>potenza richiesta dalla pompa 7-9</t>
  </si>
  <si>
    <t>potenza richiesta dalla PA 10-11</t>
  </si>
  <si>
    <t>potenza totale richiesta dalle pompe</t>
  </si>
  <si>
    <t>potenza totale generata dalla turbina</t>
  </si>
  <si>
    <t>potenza elettrica generata</t>
  </si>
  <si>
    <t>potenza termica utile UT1</t>
  </si>
  <si>
    <t>potenza termica utile UT2</t>
  </si>
  <si>
    <t>m_ut1=m3=m7</t>
  </si>
  <si>
    <t>m_ut2=m5=m6</t>
  </si>
  <si>
    <t>Wc,6-8</t>
  </si>
  <si>
    <t>Wc,7-9</t>
  </si>
  <si>
    <t>Wc,10-11</t>
  </si>
  <si>
    <t>Wc</t>
  </si>
  <si>
    <t>We,1</t>
  </si>
  <si>
    <t>We,2</t>
  </si>
  <si>
    <t>We</t>
  </si>
  <si>
    <t>Wth</t>
  </si>
  <si>
    <t>P,pa</t>
  </si>
  <si>
    <t>P,pompe</t>
  </si>
  <si>
    <t>P,TV</t>
  </si>
  <si>
    <t>Pel</t>
  </si>
  <si>
    <t>H1</t>
  </si>
  <si>
    <t>H3</t>
  </si>
  <si>
    <t>portata di vapore prodotta dal GVC</t>
  </si>
  <si>
    <t>m1</t>
  </si>
  <si>
    <t>rapporto stechiometrico aria/combustibile</t>
  </si>
  <si>
    <t>α</t>
  </si>
  <si>
    <t>αST</t>
  </si>
  <si>
    <t>rapporto aria/combustibile</t>
  </si>
  <si>
    <t>portata di combustibile</t>
  </si>
  <si>
    <t>portata d'aria</t>
  </si>
  <si>
    <t>portata dei fumi nel GVC</t>
  </si>
  <si>
    <t>potenza termica da combustibile in ingresso</t>
  </si>
  <si>
    <t>rapporto tra potenza termica utile e potenza elettrica prodotta</t>
  </si>
  <si>
    <t>PRESTAZIONI CAR  in condizioni di progetto</t>
  </si>
  <si>
    <t>perdite per attrito elettro-meccanico</t>
  </si>
  <si>
    <t>H1 è un'estrazione di vapore COGENERATIVA</t>
  </si>
  <si>
    <t>H2 è un'estrazione di vapore COGENERATIVA</t>
  </si>
  <si>
    <t>mc</t>
  </si>
  <si>
    <t>ma</t>
  </si>
  <si>
    <t>mf</t>
  </si>
  <si>
    <t>Qcomb</t>
  </si>
  <si>
    <t>H/E</t>
  </si>
  <si>
    <t>potenza termica utile d'impianto cogenerativa</t>
  </si>
  <si>
    <t>Pelm</t>
  </si>
  <si>
    <t>operatività annua</t>
  </si>
  <si>
    <t>ore di funzionamento</t>
  </si>
  <si>
    <t>g/a</t>
  </si>
  <si>
    <t>h/g</t>
  </si>
  <si>
    <t>ore di funzionamento annuo</t>
  </si>
  <si>
    <t>h</t>
  </si>
  <si>
    <t xml:space="preserve">portata di vapore annua prodotta dal gvc </t>
  </si>
  <si>
    <t>kton</t>
  </si>
  <si>
    <t>energia elettrica prodotta</t>
  </si>
  <si>
    <t>portata di combustibile in ingresso</t>
  </si>
  <si>
    <t>GWh</t>
  </si>
  <si>
    <t>portata di vapore all'utenza H1</t>
  </si>
  <si>
    <t>energia termica utile diretta all'utenza H1</t>
  </si>
  <si>
    <t>portata di vapore all'utenza H2</t>
  </si>
  <si>
    <t>energia termica utile diretta all'utenza H2</t>
  </si>
  <si>
    <t>energia termica utile CHP</t>
  </si>
  <si>
    <t>H,CHP</t>
  </si>
  <si>
    <t>F,CHP</t>
  </si>
  <si>
    <t>rendimento globale</t>
  </si>
  <si>
    <t>eta,g</t>
  </si>
  <si>
    <t>rendimento di soglia</t>
  </si>
  <si>
    <t>eta,soglia</t>
  </si>
  <si>
    <t>POSSO PROCEDERE AL CALCOLO DEL PES</t>
  </si>
  <si>
    <t>rendimento elettrico</t>
  </si>
  <si>
    <t>eta,E</t>
  </si>
  <si>
    <t>rendimento termico</t>
  </si>
  <si>
    <t>eta,H</t>
  </si>
  <si>
    <t>Per il calcolo del beta:</t>
  </si>
  <si>
    <t>Il vapore estratto dalla TV e impiegato per l'alimentazione del degasatore è un flusso che non compare nel calcolo del beta</t>
  </si>
  <si>
    <t>entalpia di riferimento a 1.013 bar e 15°C</t>
  </si>
  <si>
    <t>h,rif</t>
  </si>
  <si>
    <t>fattore correttivo Kp</t>
  </si>
  <si>
    <t>Kp</t>
  </si>
  <si>
    <t>beta</t>
  </si>
  <si>
    <t>β</t>
  </si>
  <si>
    <t>rendimento elettrico equivalente</t>
  </si>
  <si>
    <t>etaE,eq</t>
  </si>
  <si>
    <t>rendimento elettrico di riferimento</t>
  </si>
  <si>
    <t>etarif,E</t>
  </si>
  <si>
    <t>rendimento termico di riferimento</t>
  </si>
  <si>
    <t>etarif,H</t>
  </si>
  <si>
    <t>PES</t>
  </si>
  <si>
    <t>PES minimo</t>
  </si>
  <si>
    <t>Emissioni annue di CO2</t>
  </si>
  <si>
    <t>massa di combustibile in ingresso</t>
  </si>
  <si>
    <t>kton/a</t>
  </si>
  <si>
    <t>massa di carbonio totale nel combustibile</t>
  </si>
  <si>
    <t>mC</t>
  </si>
  <si>
    <t>moli totali di carbonio nel combustibile</t>
  </si>
  <si>
    <t>molC</t>
  </si>
  <si>
    <t>Gmol/a</t>
  </si>
  <si>
    <t>moli totali di anidride carbonica nei fumi</t>
  </si>
  <si>
    <t>molCO2</t>
  </si>
  <si>
    <t>emissioni annue di CO2</t>
  </si>
  <si>
    <t>mCO2</t>
  </si>
  <si>
    <t>ton/a</t>
  </si>
  <si>
    <t>energia termica da combustibile CHP</t>
  </si>
  <si>
    <t>Il vapore destinato all'utenza H1 è estratto dalla turbina a vapore e va a costituire una perdita di produzione di energia elettrica per soddisfare la richiesta termica, quindi rientra nel calcolo del beta</t>
  </si>
  <si>
    <t>Il vapore destinato all'utenza H2 è estratto a valle della turbina, ovvero è vapore che ha interamente partecipato alla produzione di energia elettrica ed in più soddisfa le richieste termiche dell'utenza H2, quindi non rientra nel calcolo del beta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</si>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</sst>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E+00"/>
    <numFmt numFmtId="166" formatCode="0.0"/>
    <numFmt numFmtId="167" formatCode="0.000"/>
    <numFmt numFmtId="168" formatCode="0.00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u/>
      <sz val="8"/>
      <color indexed="12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b/>
      <i/>
      <sz val="12"/>
      <name val="Arial"/>
      <family val="2"/>
    </font>
    <font>
      <sz val="10"/>
      <name val="Arial"/>
      <family val="2"/>
    </font>
    <font>
      <b/>
      <sz val="11"/>
      <color rgb="FFFA7D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4"/>
      <name val="Arial"/>
      <family val="2"/>
    </font>
    <font>
      <b/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2F2F2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17" fillId="6" borderId="9" applyNumberFormat="0" applyFont="0" applyAlignment="0" applyProtection="0"/>
    <xf numFmtId="0" fontId="3" fillId="7" borderId="0" applyNumberFormat="0" applyBorder="0" applyAlignment="0" applyProtection="0"/>
    <xf numFmtId="0" fontId="18" fillId="8" borderId="10" applyNumberFormat="0" applyAlignment="0" applyProtection="0"/>
    <xf numFmtId="9" fontId="19" fillId="0" borderId="0" applyFont="0" applyFill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</cellStyleXfs>
  <cellXfs count="87">
    <xf numFmtId="0" fontId="0" fillId="0" borderId="0" xfId="0"/>
    <xf numFmtId="0" fontId="5" fillId="0" borderId="0" xfId="0" applyFont="1"/>
    <xf numFmtId="0" fontId="6" fillId="0" borderId="0" xfId="0" applyFont="1"/>
    <xf numFmtId="0" fontId="0" fillId="0" borderId="1" xfId="0" applyBorder="1"/>
    <xf numFmtId="0" fontId="5" fillId="0" borderId="1" xfId="0" applyFont="1" applyBorder="1"/>
    <xf numFmtId="0" fontId="0" fillId="0" borderId="2" xfId="0" applyBorder="1"/>
    <xf numFmtId="0" fontId="8" fillId="0" borderId="0" xfId="0" applyFont="1"/>
    <xf numFmtId="164" fontId="5" fillId="0" borderId="0" xfId="0" applyNumberFormat="1" applyFont="1"/>
    <xf numFmtId="0" fontId="9" fillId="0" borderId="0" xfId="0" applyFont="1"/>
    <xf numFmtId="165" fontId="5" fillId="0" borderId="0" xfId="0" applyNumberFormat="1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0" applyFont="1"/>
    <xf numFmtId="0" fontId="15" fillId="0" borderId="0" xfId="1" applyFont="1" applyAlignment="1" applyProtection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6" fillId="0" borderId="0" xfId="0" applyFont="1"/>
    <xf numFmtId="0" fontId="13" fillId="0" borderId="0" xfId="1" applyFont="1" applyAlignment="1" applyProtection="1"/>
    <xf numFmtId="0" fontId="7" fillId="0" borderId="0" xfId="1" applyAlignment="1" applyProtection="1"/>
    <xf numFmtId="167" fontId="0" fillId="0" borderId="0" xfId="0" applyNumberFormat="1"/>
    <xf numFmtId="2" fontId="0" fillId="0" borderId="0" xfId="0" applyNumberFormat="1"/>
    <xf numFmtId="166" fontId="0" fillId="0" borderId="0" xfId="0" applyNumberFormat="1"/>
    <xf numFmtId="166" fontId="0" fillId="0" borderId="4" xfId="0" applyNumberFormat="1" applyBorder="1"/>
    <xf numFmtId="0" fontId="5" fillId="0" borderId="0" xfId="0" applyFont="1" applyAlignment="1">
      <alignment horizontal="center"/>
    </xf>
    <xf numFmtId="0" fontId="0" fillId="2" borderId="6" xfId="0" applyFill="1" applyBorder="1"/>
    <xf numFmtId="2" fontId="5" fillId="3" borderId="7" xfId="0" applyNumberFormat="1" applyFont="1" applyFill="1" applyBorder="1"/>
    <xf numFmtId="0" fontId="0" fillId="2" borderId="8" xfId="0" applyFill="1" applyBorder="1"/>
    <xf numFmtId="2" fontId="5" fillId="3" borderId="0" xfId="0" applyNumberFormat="1" applyFont="1" applyFill="1"/>
    <xf numFmtId="167" fontId="5" fillId="3" borderId="7" xfId="0" applyNumberFormat="1" applyFont="1" applyFill="1" applyBorder="1"/>
    <xf numFmtId="164" fontId="6" fillId="0" borderId="0" xfId="0" applyNumberFormat="1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4" fillId="4" borderId="0" xfId="2" applyAlignment="1">
      <alignment horizontal="center"/>
    </xf>
    <xf numFmtId="0" fontId="4" fillId="5" borderId="0" xfId="3" applyAlignment="1">
      <alignment horizontal="center"/>
    </xf>
    <xf numFmtId="0" fontId="3" fillId="7" borderId="0" xfId="5" applyAlignment="1">
      <alignment horizontal="center"/>
    </xf>
    <xf numFmtId="0" fontId="18" fillId="8" borderId="10" xfId="6" applyAlignment="1">
      <alignment horizontal="center"/>
    </xf>
    <xf numFmtId="0" fontId="0" fillId="6" borderId="9" xfId="4" applyFont="1" applyAlignment="1">
      <alignment horizontal="center"/>
    </xf>
    <xf numFmtId="0" fontId="5" fillId="6" borderId="9" xfId="4" applyFont="1" applyAlignment="1">
      <alignment horizontal="center"/>
    </xf>
    <xf numFmtId="0" fontId="20" fillId="6" borderId="9" xfId="4" applyFont="1" applyAlignment="1">
      <alignment horizontal="center"/>
    </xf>
    <xf numFmtId="0" fontId="18" fillId="8" borderId="0" xfId="6" applyBorder="1"/>
    <xf numFmtId="0" fontId="18" fillId="8" borderId="6" xfId="6" applyBorder="1"/>
    <xf numFmtId="0" fontId="18" fillId="8" borderId="7" xfId="6" applyBorder="1"/>
    <xf numFmtId="0" fontId="18" fillId="8" borderId="8" xfId="6" applyBorder="1"/>
    <xf numFmtId="0" fontId="18" fillId="8" borderId="1" xfId="6" applyBorder="1"/>
    <xf numFmtId="0" fontId="18" fillId="8" borderId="2" xfId="6" applyBorder="1"/>
    <xf numFmtId="0" fontId="18" fillId="8" borderId="3" xfId="6" applyBorder="1"/>
    <xf numFmtId="0" fontId="18" fillId="8" borderId="4" xfId="6" applyBorder="1"/>
    <xf numFmtId="10" fontId="18" fillId="8" borderId="5" xfId="6" applyNumberFormat="1" applyBorder="1"/>
    <xf numFmtId="0" fontId="2" fillId="10" borderId="0" xfId="9"/>
    <xf numFmtId="168" fontId="2" fillId="10" borderId="0" xfId="9" applyNumberFormat="1"/>
    <xf numFmtId="0" fontId="20" fillId="10" borderId="0" xfId="9" applyFont="1"/>
    <xf numFmtId="0" fontId="2" fillId="9" borderId="0" xfId="8"/>
    <xf numFmtId="0" fontId="22" fillId="6" borderId="7" xfId="4" applyFont="1" applyBorder="1"/>
    <xf numFmtId="0" fontId="21" fillId="6" borderId="8" xfId="4" applyFont="1" applyBorder="1"/>
    <xf numFmtId="0" fontId="21" fillId="6" borderId="1" xfId="4" applyFont="1" applyBorder="1"/>
    <xf numFmtId="0" fontId="21" fillId="6" borderId="0" xfId="4" applyFont="1" applyBorder="1"/>
    <xf numFmtId="0" fontId="21" fillId="6" borderId="2" xfId="4" applyFont="1" applyBorder="1"/>
    <xf numFmtId="0" fontId="21" fillId="6" borderId="3" xfId="4" applyFont="1" applyBorder="1"/>
    <xf numFmtId="0" fontId="21" fillId="6" borderId="4" xfId="4" applyFont="1" applyBorder="1"/>
    <xf numFmtId="0" fontId="21" fillId="6" borderId="5" xfId="4" applyFont="1" applyBorder="1"/>
    <xf numFmtId="0" fontId="22" fillId="0" borderId="6" xfId="0" applyFont="1" applyBorder="1"/>
    <xf numFmtId="0" fontId="21" fillId="0" borderId="7" xfId="0" applyFont="1" applyBorder="1"/>
    <xf numFmtId="0" fontId="21" fillId="0" borderId="8" xfId="0" applyFont="1" applyBorder="1"/>
    <xf numFmtId="0" fontId="21" fillId="0" borderId="1" xfId="0" applyFont="1" applyBorder="1"/>
    <xf numFmtId="0" fontId="21" fillId="0" borderId="0" xfId="0" applyFont="1"/>
    <xf numFmtId="0" fontId="21" fillId="0" borderId="2" xfId="0" applyFont="1" applyBorder="1"/>
    <xf numFmtId="0" fontId="21" fillId="0" borderId="3" xfId="0" applyFont="1" applyBorder="1"/>
    <xf numFmtId="0" fontId="21" fillId="0" borderId="4" xfId="0" applyFont="1" applyBorder="1"/>
    <xf numFmtId="0" fontId="21" fillId="0" borderId="5" xfId="0" applyFont="1" applyBorder="1"/>
    <xf numFmtId="0" fontId="23" fillId="0" borderId="0" xfId="0" applyFont="1"/>
    <xf numFmtId="0" fontId="24" fillId="6" borderId="6" xfId="4" applyFont="1" applyBorder="1"/>
    <xf numFmtId="9" fontId="6" fillId="0" borderId="0" xfId="7" applyFont="1" applyAlignment="1">
      <alignment horizontal="center"/>
    </xf>
    <xf numFmtId="0" fontId="5" fillId="6" borderId="9" xfId="4" applyFont="1"/>
    <xf numFmtId="0" fontId="0" fillId="6" borderId="9" xfId="4" applyFont="1"/>
    <xf numFmtId="10" fontId="0" fillId="0" borderId="0" xfId="0" applyNumberFormat="1"/>
    <xf numFmtId="9" fontId="0" fillId="0" borderId="0" xfId="0" applyNumberFormat="1"/>
    <xf numFmtId="10" fontId="0" fillId="0" borderId="0" xfId="7" applyNumberFormat="1" applyFont="1"/>
    <xf numFmtId="9" fontId="0" fillId="0" borderId="0" xfId="7" applyFont="1"/>
    <xf numFmtId="0" fontId="4" fillId="5" borderId="0" xfId="3"/>
    <xf numFmtId="0" fontId="1" fillId="5" borderId="0" xfId="3" applyFont="1"/>
    <xf numFmtId="0" fontId="20" fillId="5" borderId="0" xfId="3" applyFont="1"/>
    <xf numFmtId="9" fontId="0" fillId="0" borderId="0" xfId="7" applyNumberFormat="1" applyFont="1"/>
  </cellXfs>
  <cellStyles count="10">
    <cellStyle name="20% - Colore 1" xfId="2" builtinId="30"/>
    <cellStyle name="20% - Colore 2" xfId="5" builtinId="34"/>
    <cellStyle name="40% - Colore 1" xfId="3" builtinId="31"/>
    <cellStyle name="40% - Colore 6" xfId="9" builtinId="51"/>
    <cellStyle name="60% - Colore 3" xfId="8" builtinId="40"/>
    <cellStyle name="Calcolo" xfId="6" builtinId="22"/>
    <cellStyle name="Collegamento ipertestuale" xfId="1" builtinId="8"/>
    <cellStyle name="Normale" xfId="0" builtinId="0"/>
    <cellStyle name="Nota" xfId="4" builtinId="10"/>
    <cellStyle name="Percentuale" xfId="7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8258</xdr:colOff>
      <xdr:row>2</xdr:row>
      <xdr:rowOff>16935</xdr:rowOff>
    </xdr:from>
    <xdr:to>
      <xdr:col>11</xdr:col>
      <xdr:colOff>138857</xdr:colOff>
      <xdr:row>18</xdr:row>
      <xdr:rowOff>160869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168280B4-6692-DE77-61E5-7AB7CDADF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4658" y="407460"/>
          <a:ext cx="3026199" cy="29061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x-eng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29"/>
  <sheetViews>
    <sheetView workbookViewId="0">
      <selection activeCell="I17" sqref="I17"/>
    </sheetView>
  </sheetViews>
  <sheetFormatPr defaultRowHeight="12.75" x14ac:dyDescent="0.2"/>
  <cols>
    <col min="1" max="1" width="2.5703125" customWidth="1"/>
    <col min="2" max="2" width="21" customWidth="1"/>
    <col min="5" max="5" width="4.7109375" customWidth="1"/>
    <col min="6" max="6" width="20.7109375" customWidth="1"/>
  </cols>
  <sheetData>
    <row r="1" spans="2:10" ht="18" x14ac:dyDescent="0.25">
      <c r="B1" s="6" t="s">
        <v>0</v>
      </c>
    </row>
    <row r="2" spans="2:10" s="2" customFormat="1" x14ac:dyDescent="0.2">
      <c r="B2" s="8" t="s">
        <v>1</v>
      </c>
      <c r="D2" s="8" t="s">
        <v>2</v>
      </c>
    </row>
    <row r="3" spans="2:10" s="2" customFormat="1" x14ac:dyDescent="0.2">
      <c r="B3" s="8" t="s">
        <v>3</v>
      </c>
      <c r="D3" s="8" t="s">
        <v>4</v>
      </c>
      <c r="H3" s="1"/>
      <c r="I3" s="1"/>
    </row>
    <row r="4" spans="2:10" x14ac:dyDescent="0.2">
      <c r="B4" s="21" t="s">
        <v>5</v>
      </c>
      <c r="D4" s="8" t="s">
        <v>6</v>
      </c>
      <c r="H4" s="1"/>
      <c r="I4" s="1"/>
      <c r="J4" s="2"/>
    </row>
    <row r="5" spans="2:10" x14ac:dyDescent="0.2">
      <c r="B5" s="22"/>
      <c r="H5" s="1"/>
      <c r="I5" s="1"/>
      <c r="J5" s="2"/>
    </row>
    <row r="6" spans="2:10" x14ac:dyDescent="0.2">
      <c r="B6" s="1" t="s">
        <v>7</v>
      </c>
      <c r="F6" s="1" t="s">
        <v>8</v>
      </c>
    </row>
    <row r="7" spans="2:10" x14ac:dyDescent="0.2">
      <c r="B7" s="28" t="s">
        <v>9</v>
      </c>
      <c r="C7" s="29">
        <v>120</v>
      </c>
      <c r="D7" s="30" t="s">
        <v>10</v>
      </c>
      <c r="F7" s="28" t="s">
        <v>11</v>
      </c>
      <c r="G7" s="32">
        <v>12.57</v>
      </c>
      <c r="H7" s="30" t="s">
        <v>12</v>
      </c>
    </row>
    <row r="8" spans="2:10" x14ac:dyDescent="0.2">
      <c r="B8" s="3" t="s">
        <v>13</v>
      </c>
      <c r="C8" s="23">
        <f>psat_t(C7)</f>
        <v>1.9866539973930202</v>
      </c>
      <c r="D8" s="5" t="s">
        <v>12</v>
      </c>
      <c r="F8" s="3" t="s">
        <v>14</v>
      </c>
      <c r="G8" s="24">
        <f>Tsat_p(G7)</f>
        <v>190.0720101494847</v>
      </c>
      <c r="H8" s="5" t="s">
        <v>10</v>
      </c>
    </row>
    <row r="9" spans="2:10" x14ac:dyDescent="0.2">
      <c r="B9" s="4" t="s">
        <v>15</v>
      </c>
      <c r="D9" s="5"/>
      <c r="F9" s="4" t="s">
        <v>15</v>
      </c>
      <c r="H9" s="5"/>
    </row>
    <row r="10" spans="2:10" x14ac:dyDescent="0.2">
      <c r="B10" s="3" t="s">
        <v>16</v>
      </c>
      <c r="C10" s="25">
        <f>hL_T(C7)</f>
        <v>503.78456710703352</v>
      </c>
      <c r="D10" s="5" t="s">
        <v>17</v>
      </c>
      <c r="F10" s="3" t="s">
        <v>16</v>
      </c>
      <c r="G10" s="25">
        <f>hL_p(G7)</f>
        <v>807.88713916160611</v>
      </c>
      <c r="H10" s="5" t="s">
        <v>17</v>
      </c>
    </row>
    <row r="11" spans="2:10" x14ac:dyDescent="0.2">
      <c r="B11" s="3" t="s">
        <v>18</v>
      </c>
      <c r="C11" s="24">
        <f>rhoL_T(C7)</f>
        <v>943.10567745835419</v>
      </c>
      <c r="D11" s="5" t="s">
        <v>19</v>
      </c>
      <c r="F11" s="3" t="s">
        <v>18</v>
      </c>
      <c r="G11" s="24">
        <f>rhoL_P(G7)</f>
        <v>876.00369063972801</v>
      </c>
      <c r="H11" s="5" t="s">
        <v>19</v>
      </c>
    </row>
    <row r="12" spans="2:10" x14ac:dyDescent="0.2">
      <c r="B12" s="3" t="s">
        <v>20</v>
      </c>
      <c r="C12" s="24">
        <f>sL_T(C7)</f>
        <v>1.5278150478467178</v>
      </c>
      <c r="D12" s="5" t="s">
        <v>21</v>
      </c>
      <c r="F12" s="3" t="s">
        <v>20</v>
      </c>
      <c r="G12" s="24">
        <f>sL_p(G7)</f>
        <v>2.2364689876704964</v>
      </c>
      <c r="H12" s="5" t="s">
        <v>21</v>
      </c>
    </row>
    <row r="13" spans="2:10" x14ac:dyDescent="0.2">
      <c r="B13" s="4" t="s">
        <v>22</v>
      </c>
      <c r="D13" s="5"/>
      <c r="F13" s="4" t="s">
        <v>22</v>
      </c>
      <c r="H13" s="5"/>
    </row>
    <row r="14" spans="2:10" x14ac:dyDescent="0.2">
      <c r="B14" s="3" t="s">
        <v>23</v>
      </c>
      <c r="C14" s="25">
        <f>hV_T(C7)</f>
        <v>2705.9342474169584</v>
      </c>
      <c r="D14" s="5" t="s">
        <v>17</v>
      </c>
      <c r="F14" s="3" t="s">
        <v>23</v>
      </c>
      <c r="G14" s="25">
        <f>hV_p(G7)</f>
        <v>2785.3645430359766</v>
      </c>
      <c r="H14" s="5" t="s">
        <v>17</v>
      </c>
    </row>
    <row r="15" spans="2:10" x14ac:dyDescent="0.2">
      <c r="B15" s="3" t="s">
        <v>24</v>
      </c>
      <c r="C15" s="24">
        <f>rhoV_T(C7)</f>
        <v>1.1219517174818008</v>
      </c>
      <c r="D15" s="5" t="s">
        <v>19</v>
      </c>
      <c r="F15" s="3" t="s">
        <v>24</v>
      </c>
      <c r="G15" s="24">
        <f>rhoV_p(G7)</f>
        <v>6.4045082049427524</v>
      </c>
      <c r="H15" s="5" t="s">
        <v>19</v>
      </c>
    </row>
    <row r="16" spans="2:10" x14ac:dyDescent="0.2">
      <c r="B16" s="3" t="s">
        <v>25</v>
      </c>
      <c r="C16" s="24">
        <f>sV_T(C7)</f>
        <v>7.1290908569364211</v>
      </c>
      <c r="D16" s="5" t="s">
        <v>21</v>
      </c>
      <c r="F16" s="3" t="s">
        <v>26</v>
      </c>
      <c r="G16" s="24">
        <f>sV_p(G7)</f>
        <v>6.5054497650746752</v>
      </c>
      <c r="H16" s="5" t="s">
        <v>21</v>
      </c>
    </row>
    <row r="17" spans="2:8" x14ac:dyDescent="0.2">
      <c r="B17" s="17" t="s">
        <v>27</v>
      </c>
      <c r="C17" s="26">
        <f>C14-C10</f>
        <v>2202.1496803099249</v>
      </c>
      <c r="D17" s="19" t="s">
        <v>17</v>
      </c>
      <c r="F17" s="17" t="s">
        <v>27</v>
      </c>
      <c r="G17" s="26">
        <f>G14-G10</f>
        <v>1977.4774038743703</v>
      </c>
      <c r="H17" s="19" t="s">
        <v>17</v>
      </c>
    </row>
    <row r="19" spans="2:8" x14ac:dyDescent="0.2">
      <c r="B19" s="1" t="s">
        <v>28</v>
      </c>
      <c r="F19" s="1" t="s">
        <v>29</v>
      </c>
    </row>
    <row r="20" spans="2:8" x14ac:dyDescent="0.2">
      <c r="B20" s="28" t="s">
        <v>11</v>
      </c>
      <c r="C20" s="29">
        <v>1</v>
      </c>
      <c r="D20" s="30" t="s">
        <v>12</v>
      </c>
      <c r="F20" s="28" t="s">
        <v>11</v>
      </c>
      <c r="G20" s="29">
        <v>12.57</v>
      </c>
      <c r="H20" s="30" t="s">
        <v>12</v>
      </c>
    </row>
    <row r="21" spans="2:8" x14ac:dyDescent="0.2">
      <c r="B21" s="15" t="s">
        <v>9</v>
      </c>
      <c r="C21" s="31">
        <v>100</v>
      </c>
      <c r="D21" s="16" t="s">
        <v>10</v>
      </c>
      <c r="F21" s="15" t="s">
        <v>16</v>
      </c>
      <c r="G21" s="31">
        <v>2788</v>
      </c>
      <c r="H21" s="16" t="s">
        <v>17</v>
      </c>
    </row>
    <row r="22" spans="2:8" x14ac:dyDescent="0.2">
      <c r="B22" s="3" t="s">
        <v>16</v>
      </c>
      <c r="C22" s="25">
        <f>h_pt(C20,C21)</f>
        <v>2675.7673672058295</v>
      </c>
      <c r="D22" s="5" t="s">
        <v>17</v>
      </c>
      <c r="F22" s="3" t="s">
        <v>9</v>
      </c>
      <c r="G22" s="25">
        <f>T_ph(G20,G21)</f>
        <v>190.99878517007232</v>
      </c>
      <c r="H22" s="5" t="s">
        <v>10</v>
      </c>
    </row>
    <row r="23" spans="2:8" x14ac:dyDescent="0.2">
      <c r="B23" s="3" t="s">
        <v>18</v>
      </c>
      <c r="C23" s="24">
        <f>rho_pT(C20,C21)</f>
        <v>0.5896367540624714</v>
      </c>
      <c r="D23" s="5" t="s">
        <v>19</v>
      </c>
      <c r="F23" s="3" t="s">
        <v>18</v>
      </c>
      <c r="G23" s="24">
        <f>rho_ph(G20,G21)</f>
        <v>6.3855415554886008</v>
      </c>
      <c r="H23" s="5" t="s">
        <v>19</v>
      </c>
    </row>
    <row r="24" spans="2:8" x14ac:dyDescent="0.2">
      <c r="B24" s="3" t="s">
        <v>20</v>
      </c>
      <c r="C24" s="24">
        <f>s_pT(C20,C21)</f>
        <v>7.3609992138666618</v>
      </c>
      <c r="D24" s="5" t="s">
        <v>21</v>
      </c>
      <c r="F24" s="3" t="s">
        <v>20</v>
      </c>
      <c r="G24" s="24">
        <f>s_ph(G20,G21)</f>
        <v>6.5111125817764135</v>
      </c>
      <c r="H24" s="5" t="s">
        <v>21</v>
      </c>
    </row>
    <row r="25" spans="2:8" x14ac:dyDescent="0.2">
      <c r="B25" s="3" t="s">
        <v>30</v>
      </c>
      <c r="C25">
        <f>x_ph(C20,C22)*100</f>
        <v>100</v>
      </c>
      <c r="D25" s="5" t="s">
        <v>31</v>
      </c>
      <c r="F25" s="3" t="s">
        <v>30</v>
      </c>
      <c r="G25">
        <f>x_ph(G20,G21)*100</f>
        <v>100</v>
      </c>
      <c r="H25" s="5" t="s">
        <v>31</v>
      </c>
    </row>
    <row r="26" spans="2:8" x14ac:dyDescent="0.2">
      <c r="B26" s="3" t="s">
        <v>32</v>
      </c>
      <c r="C26">
        <f>region_pt(C20/10,C21+273.15)</f>
        <v>2</v>
      </c>
      <c r="D26" s="5"/>
      <c r="F26" s="3" t="s">
        <v>32</v>
      </c>
      <c r="G26">
        <f>region_ph(G20/10,G21)</f>
        <v>2</v>
      </c>
      <c r="H26" s="5"/>
    </row>
    <row r="27" spans="2:8" x14ac:dyDescent="0.2">
      <c r="B27" s="3" t="s">
        <v>33</v>
      </c>
      <c r="C27" s="27" t="str">
        <f>IF(C26=2,"Steam",IF(C26=1,"Liquid",IF(C26=4,"Mixture","")))</f>
        <v>Steam</v>
      </c>
      <c r="D27" s="5"/>
      <c r="F27" s="3" t="s">
        <v>33</v>
      </c>
      <c r="G27" s="27" t="str">
        <f>IF(G26=2,"Steam",IF(G26=1,"Liquid",IF(G26=4,"Mixture","")))</f>
        <v>Steam</v>
      </c>
      <c r="H27" s="5"/>
    </row>
    <row r="28" spans="2:8" x14ac:dyDescent="0.2">
      <c r="B28" s="3" t="s">
        <v>34</v>
      </c>
      <c r="C28">
        <f>Cp_pT(C20,C21)</f>
        <v>2.0741085545801092</v>
      </c>
      <c r="D28" s="5" t="s">
        <v>17</v>
      </c>
      <c r="F28" s="3" t="s">
        <v>34</v>
      </c>
      <c r="G28">
        <f>Cp_ph(G20,G21)</f>
        <v>2.819479422450438</v>
      </c>
      <c r="H28" s="5" t="s">
        <v>17</v>
      </c>
    </row>
    <row r="29" spans="2:8" x14ac:dyDescent="0.2">
      <c r="B29" s="17" t="s">
        <v>35</v>
      </c>
      <c r="C29" s="18">
        <f>w_pT(C20,C21)</f>
        <v>472.33752352485521</v>
      </c>
      <c r="D29" s="19" t="s">
        <v>36</v>
      </c>
      <c r="F29" s="17" t="s">
        <v>35</v>
      </c>
      <c r="G29" s="18">
        <f>w_ph(G20,G21)</f>
        <v>503.55121714205848</v>
      </c>
      <c r="H29" s="19" t="s">
        <v>36</v>
      </c>
    </row>
  </sheetData>
  <phoneticPr fontId="0" type="noConversion"/>
  <hyperlinks>
    <hyperlink ref="B4" r:id="rId1" xr:uid="{00000000-0004-0000-0000-000000000000}"/>
  </hyperlinks>
  <pageMargins left="0.75" right="0.75" top="1" bottom="1" header="0.5" footer="0.5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outlinePr summaryBelow="0"/>
  </sheetPr>
  <dimension ref="A1:X150"/>
  <sheetViews>
    <sheetView workbookViewId="0">
      <selection activeCell="B15" sqref="B15"/>
    </sheetView>
  </sheetViews>
  <sheetFormatPr defaultRowHeight="12.75" outlineLevelRow="1" x14ac:dyDescent="0.2"/>
  <cols>
    <col min="1" max="1" width="24.28515625" customWidth="1"/>
    <col min="2" max="2" width="10" bestFit="1" customWidth="1"/>
    <col min="3" max="3" width="7.7109375" customWidth="1"/>
    <col min="4" max="4" width="12" bestFit="1" customWidth="1"/>
    <col min="5" max="5" width="8.28515625" customWidth="1"/>
    <col min="6" max="6" width="15.7109375" style="1" bestFit="1" customWidth="1"/>
    <col min="7" max="7" width="9.28515625" style="1"/>
    <col min="8" max="8" width="7.5703125" style="2" customWidth="1"/>
  </cols>
  <sheetData>
    <row r="1" spans="1:8" s="13" customFormat="1" ht="18" x14ac:dyDescent="0.25">
      <c r="A1" s="6" t="s">
        <v>0</v>
      </c>
      <c r="D1" s="2" t="s">
        <v>37</v>
      </c>
      <c r="E1" s="14" t="s">
        <v>38</v>
      </c>
      <c r="F1" s="6"/>
      <c r="G1" s="6"/>
    </row>
    <row r="2" spans="1:8" s="10" customFormat="1" ht="11.25" x14ac:dyDescent="0.2">
      <c r="A2" s="10" t="s">
        <v>39</v>
      </c>
    </row>
    <row r="3" spans="1:8" s="8" customFormat="1" ht="11.25" x14ac:dyDescent="0.2">
      <c r="A3" s="8" t="s">
        <v>40</v>
      </c>
    </row>
    <row r="4" spans="1:8" s="8" customFormat="1" ht="11.25" x14ac:dyDescent="0.2">
      <c r="A4" s="8" t="s">
        <v>41</v>
      </c>
      <c r="F4" s="21" t="s">
        <v>42</v>
      </c>
    </row>
    <row r="5" spans="1:8" s="8" customFormat="1" ht="11.25" x14ac:dyDescent="0.2">
      <c r="A5" s="8" t="s">
        <v>4</v>
      </c>
    </row>
    <row r="6" spans="1:8" x14ac:dyDescent="0.2">
      <c r="A6" s="10" t="s">
        <v>6</v>
      </c>
      <c r="B6" s="2"/>
      <c r="C6" s="2"/>
      <c r="D6" s="2"/>
      <c r="E6" s="2"/>
      <c r="F6" s="2"/>
      <c r="G6" s="2"/>
    </row>
    <row r="7" spans="1:8" x14ac:dyDescent="0.2">
      <c r="A7" s="10"/>
      <c r="B7" s="2"/>
      <c r="C7" s="2"/>
      <c r="D7" s="2"/>
      <c r="E7" s="2"/>
      <c r="F7" s="2"/>
      <c r="G7" s="2"/>
    </row>
    <row r="8" spans="1:8" s="12" customFormat="1" ht="15" x14ac:dyDescent="0.2">
      <c r="A8" s="20" t="s">
        <v>9</v>
      </c>
      <c r="F8" s="11"/>
      <c r="G8" s="11"/>
    </row>
    <row r="9" spans="1:8" s="8" customFormat="1" outlineLevel="1" x14ac:dyDescent="0.2">
      <c r="A9" s="1" t="s">
        <v>43</v>
      </c>
      <c r="B9" s="2">
        <v>1</v>
      </c>
      <c r="C9" s="2" t="s">
        <v>44</v>
      </c>
      <c r="D9" s="2"/>
      <c r="E9" s="2"/>
      <c r="F9" s="1">
        <f>Tsat_p(B9)</f>
        <v>99.605918611337643</v>
      </c>
      <c r="G9" s="1" t="s">
        <v>10</v>
      </c>
      <c r="H9" s="2" t="s">
        <v>14</v>
      </c>
    </row>
    <row r="10" spans="1:8" s="8" customFormat="1" outlineLevel="1" x14ac:dyDescent="0.2">
      <c r="A10" s="1" t="s">
        <v>45</v>
      </c>
      <c r="B10" s="2">
        <v>1</v>
      </c>
      <c r="C10" s="2" t="s">
        <v>44</v>
      </c>
      <c r="D10" s="2">
        <v>100</v>
      </c>
      <c r="E10" s="2" t="s">
        <v>17</v>
      </c>
      <c r="F10" s="1">
        <f>T_ph(B10,D10)</f>
        <v>23.844819075324835</v>
      </c>
      <c r="G10" s="1" t="s">
        <v>10</v>
      </c>
      <c r="H10" s="2" t="s">
        <v>46</v>
      </c>
    </row>
    <row r="11" spans="1:8" s="8" customFormat="1" outlineLevel="1" x14ac:dyDescent="0.2">
      <c r="A11" s="1" t="s">
        <v>47</v>
      </c>
      <c r="B11" s="2">
        <v>1</v>
      </c>
      <c r="C11" s="2" t="s">
        <v>44</v>
      </c>
      <c r="D11" s="2">
        <v>1</v>
      </c>
      <c r="E11" s="2" t="s">
        <v>48</v>
      </c>
      <c r="F11" s="1">
        <f>T_ps(B11,D11)</f>
        <v>73.708594214408663</v>
      </c>
      <c r="G11" s="1" t="s">
        <v>10</v>
      </c>
      <c r="H11" s="2" t="s">
        <v>49</v>
      </c>
    </row>
    <row r="12" spans="1:8" s="8" customFormat="1" outlineLevel="1" x14ac:dyDescent="0.2">
      <c r="A12" s="1" t="s">
        <v>50</v>
      </c>
      <c r="B12" s="2">
        <v>100</v>
      </c>
      <c r="C12" s="2" t="s">
        <v>17</v>
      </c>
      <c r="D12" s="2">
        <v>0.2</v>
      </c>
      <c r="E12" s="2" t="s">
        <v>48</v>
      </c>
      <c r="F12" s="1">
        <f>T_hs(B12,D12)</f>
        <v>13.849335111872563</v>
      </c>
      <c r="G12" s="1" t="s">
        <v>10</v>
      </c>
      <c r="H12" s="2" t="s">
        <v>51</v>
      </c>
    </row>
    <row r="13" spans="1:8" s="12" customFormat="1" ht="15" x14ac:dyDescent="0.2">
      <c r="A13" s="20" t="s">
        <v>11</v>
      </c>
      <c r="F13" s="11"/>
      <c r="G13" s="11"/>
    </row>
    <row r="14" spans="1:8" s="8" customFormat="1" outlineLevel="1" x14ac:dyDescent="0.2">
      <c r="A14" s="1" t="s">
        <v>52</v>
      </c>
      <c r="B14" s="2">
        <v>100</v>
      </c>
      <c r="C14" s="2" t="s">
        <v>10</v>
      </c>
      <c r="D14" s="2"/>
      <c r="E14" s="2"/>
      <c r="F14" s="1">
        <f>psat_t(B14)</f>
        <v>1.0141797792131013</v>
      </c>
      <c r="G14" s="1" t="s">
        <v>44</v>
      </c>
      <c r="H14" s="2" t="s">
        <v>13</v>
      </c>
    </row>
    <row r="15" spans="1:8" s="8" customFormat="1" outlineLevel="1" x14ac:dyDescent="0.2">
      <c r="A15" s="1" t="s">
        <v>53</v>
      </c>
      <c r="B15" s="2">
        <v>84</v>
      </c>
      <c r="C15" s="2" t="s">
        <v>17</v>
      </c>
      <c r="D15" s="2">
        <v>0.29599999999999999</v>
      </c>
      <c r="E15" s="2" t="s">
        <v>48</v>
      </c>
      <c r="F15" s="1">
        <f>p_hs(B15,D15)</f>
        <v>2.2954982692809138</v>
      </c>
      <c r="G15" s="1" t="s">
        <v>44</v>
      </c>
      <c r="H15" s="2" t="s">
        <v>54</v>
      </c>
    </row>
    <row r="16" spans="1:8" s="8" customFormat="1" outlineLevel="1" x14ac:dyDescent="0.2">
      <c r="A16" s="1" t="s">
        <v>55</v>
      </c>
      <c r="B16" s="2">
        <v>3000</v>
      </c>
      <c r="C16" s="2" t="s">
        <v>17</v>
      </c>
      <c r="D16" s="2">
        <v>5</v>
      </c>
      <c r="E16" s="2" t="s">
        <v>19</v>
      </c>
      <c r="F16" s="1">
        <f>p_hrho(B16,D16)</f>
        <v>12.29139931253386</v>
      </c>
      <c r="G16" s="1" t="s">
        <v>44</v>
      </c>
      <c r="H16" s="2" t="s">
        <v>56</v>
      </c>
    </row>
    <row r="17" spans="1:24" s="12" customFormat="1" ht="15" x14ac:dyDescent="0.2">
      <c r="A17" s="20" t="s">
        <v>16</v>
      </c>
      <c r="F17" s="11"/>
      <c r="G17" s="11"/>
    </row>
    <row r="18" spans="1:24" s="8" customFormat="1" outlineLevel="1" x14ac:dyDescent="0.2">
      <c r="A18" s="1" t="s">
        <v>57</v>
      </c>
      <c r="B18" s="2">
        <v>1</v>
      </c>
      <c r="C18" s="2" t="s">
        <v>44</v>
      </c>
      <c r="D18" s="2"/>
      <c r="E18" s="2"/>
      <c r="F18" s="1">
        <f>hV_p(B18)</f>
        <v>2674.9496408321461</v>
      </c>
      <c r="G18" s="1" t="s">
        <v>17</v>
      </c>
      <c r="H18" s="2" t="s">
        <v>58</v>
      </c>
    </row>
    <row r="19" spans="1:24" s="8" customFormat="1" outlineLevel="1" x14ac:dyDescent="0.2">
      <c r="A19" s="1" t="s">
        <v>59</v>
      </c>
      <c r="B19" s="2">
        <v>1</v>
      </c>
      <c r="C19" s="2" t="s">
        <v>44</v>
      </c>
      <c r="D19" s="2"/>
      <c r="E19" s="2"/>
      <c r="F19" s="1">
        <f>hL_p(B19)</f>
        <v>417.43648581623171</v>
      </c>
      <c r="G19" s="1" t="s">
        <v>17</v>
      </c>
      <c r="H19" s="2" t="s">
        <v>60</v>
      </c>
    </row>
    <row r="20" spans="1:24" s="8" customFormat="1" outlineLevel="1" x14ac:dyDescent="0.2">
      <c r="A20" s="1" t="s">
        <v>61</v>
      </c>
      <c r="B20" s="2">
        <v>100</v>
      </c>
      <c r="C20" s="2" t="s">
        <v>10</v>
      </c>
      <c r="D20" s="2"/>
      <c r="E20" s="2"/>
      <c r="F20" s="1">
        <f>hV_T(B20)</f>
        <v>2675.5720292208343</v>
      </c>
      <c r="G20" s="1" t="s">
        <v>17</v>
      </c>
      <c r="H20" s="2" t="s">
        <v>58</v>
      </c>
    </row>
    <row r="21" spans="1:24" s="8" customFormat="1" outlineLevel="1" x14ac:dyDescent="0.2">
      <c r="A21" s="1" t="s">
        <v>62</v>
      </c>
      <c r="B21" s="2">
        <v>100</v>
      </c>
      <c r="C21" s="2" t="s">
        <v>10</v>
      </c>
      <c r="D21" s="2"/>
      <c r="E21" s="2"/>
      <c r="F21" s="1">
        <f>hL_T(B21)</f>
        <v>419.09915499770312</v>
      </c>
      <c r="G21" s="1" t="s">
        <v>17</v>
      </c>
      <c r="H21" s="2" t="s">
        <v>60</v>
      </c>
      <c r="X21" s="2"/>
    </row>
    <row r="22" spans="1:24" s="8" customFormat="1" outlineLevel="1" x14ac:dyDescent="0.2">
      <c r="A22" s="1" t="s">
        <v>63</v>
      </c>
      <c r="B22" s="2">
        <v>180</v>
      </c>
      <c r="C22" s="2" t="s">
        <v>44</v>
      </c>
      <c r="D22" s="2">
        <v>500</v>
      </c>
      <c r="E22" s="2" t="s">
        <v>10</v>
      </c>
      <c r="F22" s="1">
        <f>h_pt(B22,D22)</f>
        <v>3269.692464382264</v>
      </c>
      <c r="G22" s="1" t="s">
        <v>17</v>
      </c>
      <c r="H22" s="2" t="s">
        <v>64</v>
      </c>
    </row>
    <row r="23" spans="1:24" s="8" customFormat="1" outlineLevel="1" x14ac:dyDescent="0.2">
      <c r="A23" s="1" t="s">
        <v>65</v>
      </c>
      <c r="B23" s="2">
        <v>118.8</v>
      </c>
      <c r="C23" s="2" t="s">
        <v>44</v>
      </c>
      <c r="D23" s="33">
        <v>6.2222040205811533</v>
      </c>
      <c r="E23" s="2" t="s">
        <v>48</v>
      </c>
      <c r="F23" s="1">
        <f>h_ps(B23,D23)</f>
        <v>3149.5906659719763</v>
      </c>
      <c r="G23" s="1" t="s">
        <v>17</v>
      </c>
      <c r="H23" s="2" t="s">
        <v>66</v>
      </c>
    </row>
    <row r="24" spans="1:24" s="8" customFormat="1" outlineLevel="1" x14ac:dyDescent="0.2">
      <c r="A24" s="1" t="s">
        <v>67</v>
      </c>
      <c r="B24" s="2">
        <v>1</v>
      </c>
      <c r="C24" s="2" t="s">
        <v>44</v>
      </c>
      <c r="D24" s="2">
        <v>0.5</v>
      </c>
      <c r="E24" s="2"/>
      <c r="F24" s="1">
        <f>h_px(B24,D24)</f>
        <v>1546.1930633241889</v>
      </c>
      <c r="G24" s="1" t="s">
        <v>17</v>
      </c>
      <c r="H24" s="2" t="s">
        <v>68</v>
      </c>
    </row>
    <row r="25" spans="1:24" s="8" customFormat="1" outlineLevel="1" x14ac:dyDescent="0.2">
      <c r="A25" s="1" t="s">
        <v>69</v>
      </c>
      <c r="B25" s="2">
        <v>100</v>
      </c>
      <c r="C25" s="2" t="s">
        <v>10</v>
      </c>
      <c r="D25" s="2">
        <v>0.5</v>
      </c>
      <c r="E25" s="2"/>
      <c r="F25" s="1">
        <f>h_tx(B25,D25)</f>
        <v>1547.3355921092686</v>
      </c>
      <c r="G25" s="1" t="s">
        <v>17</v>
      </c>
      <c r="H25" s="2" t="s">
        <v>70</v>
      </c>
    </row>
    <row r="26" spans="1:24" s="8" customFormat="1" outlineLevel="1" x14ac:dyDescent="0.2">
      <c r="A26" s="1" t="s">
        <v>71</v>
      </c>
      <c r="B26" s="2">
        <v>20</v>
      </c>
      <c r="C26" s="2" t="s">
        <v>44</v>
      </c>
      <c r="D26" s="2">
        <v>850</v>
      </c>
      <c r="E26" s="2" t="s">
        <v>19</v>
      </c>
      <c r="F26" s="1">
        <f>h_prho(B26,D26)</f>
        <v>907.89479366567775</v>
      </c>
      <c r="G26" s="1" t="s">
        <v>17</v>
      </c>
      <c r="H26" s="2" t="s">
        <v>72</v>
      </c>
    </row>
    <row r="27" spans="1:24" s="12" customFormat="1" ht="15" x14ac:dyDescent="0.2">
      <c r="A27" s="20" t="s">
        <v>73</v>
      </c>
      <c r="F27" s="11"/>
      <c r="G27" s="11"/>
    </row>
    <row r="28" spans="1:24" s="8" customFormat="1" outlineLevel="1" x14ac:dyDescent="0.2">
      <c r="A28" s="1" t="s">
        <v>74</v>
      </c>
      <c r="B28" s="2">
        <v>1</v>
      </c>
      <c r="C28" s="2" t="s">
        <v>44</v>
      </c>
      <c r="D28" s="2"/>
      <c r="E28" s="2"/>
      <c r="F28" s="1">
        <f>vV_p(B28)</f>
        <v>1.6940225229026846</v>
      </c>
      <c r="G28" s="1" t="s">
        <v>75</v>
      </c>
      <c r="H28" s="2" t="s">
        <v>76</v>
      </c>
    </row>
    <row r="29" spans="1:24" s="8" customFormat="1" outlineLevel="1" x14ac:dyDescent="0.2">
      <c r="A29" s="1" t="s">
        <v>77</v>
      </c>
      <c r="B29" s="2">
        <v>1</v>
      </c>
      <c r="C29" s="2" t="s">
        <v>44</v>
      </c>
      <c r="D29" s="2"/>
      <c r="E29" s="2"/>
      <c r="F29" s="1">
        <f>vL_p(B29)</f>
        <v>1.0431478391551838E-3</v>
      </c>
      <c r="G29" s="1" t="s">
        <v>75</v>
      </c>
      <c r="H29" s="2" t="s">
        <v>78</v>
      </c>
    </row>
    <row r="30" spans="1:24" s="8" customFormat="1" outlineLevel="1" x14ac:dyDescent="0.2">
      <c r="A30" s="1" t="s">
        <v>79</v>
      </c>
      <c r="B30" s="2">
        <v>100</v>
      </c>
      <c r="C30" s="2" t="s">
        <v>10</v>
      </c>
      <c r="D30" s="2"/>
      <c r="E30" s="2"/>
      <c r="F30" s="1">
        <f>vV_T(B30)</f>
        <v>1.6718606010940367</v>
      </c>
      <c r="G30" s="1" t="s">
        <v>75</v>
      </c>
      <c r="H30" s="2" t="s">
        <v>76</v>
      </c>
    </row>
    <row r="31" spans="1:24" s="8" customFormat="1" outlineLevel="1" x14ac:dyDescent="0.2">
      <c r="A31" s="1" t="s">
        <v>80</v>
      </c>
      <c r="B31" s="2">
        <v>100</v>
      </c>
      <c r="C31" s="2" t="s">
        <v>10</v>
      </c>
      <c r="D31" s="2"/>
      <c r="E31" s="2"/>
      <c r="F31" s="1">
        <f>vL_T(B31)</f>
        <v>1.0434554566105269E-3</v>
      </c>
      <c r="G31" s="1" t="s">
        <v>75</v>
      </c>
      <c r="H31" s="2" t="s">
        <v>78</v>
      </c>
    </row>
    <row r="32" spans="1:24" s="8" customFormat="1" outlineLevel="1" x14ac:dyDescent="0.2">
      <c r="A32" s="1" t="s">
        <v>81</v>
      </c>
      <c r="B32" s="2">
        <v>1</v>
      </c>
      <c r="C32" s="2" t="s">
        <v>44</v>
      </c>
      <c r="D32" s="2">
        <v>100</v>
      </c>
      <c r="E32" s="2" t="s">
        <v>10</v>
      </c>
      <c r="F32" s="1">
        <f>v_pT(B32,D32)</f>
        <v>1.6959594073982218</v>
      </c>
      <c r="G32" s="1" t="s">
        <v>75</v>
      </c>
      <c r="H32" s="2" t="s">
        <v>82</v>
      </c>
    </row>
    <row r="33" spans="1:8" s="8" customFormat="1" outlineLevel="1" x14ac:dyDescent="0.2">
      <c r="A33" s="1" t="s">
        <v>83</v>
      </c>
      <c r="B33" s="2">
        <v>1</v>
      </c>
      <c r="C33" s="2" t="s">
        <v>44</v>
      </c>
      <c r="D33" s="2">
        <v>1000</v>
      </c>
      <c r="E33" s="2" t="s">
        <v>17</v>
      </c>
      <c r="F33" s="1">
        <f>v_ph(B33,D33)</f>
        <v>0.43792565812986356</v>
      </c>
      <c r="G33" s="1" t="s">
        <v>75</v>
      </c>
      <c r="H33" s="2" t="s">
        <v>84</v>
      </c>
    </row>
    <row r="34" spans="1:8" s="8" customFormat="1" outlineLevel="1" x14ac:dyDescent="0.2">
      <c r="A34" s="1" t="s">
        <v>85</v>
      </c>
      <c r="B34" s="2">
        <v>1</v>
      </c>
      <c r="C34" s="2" t="s">
        <v>44</v>
      </c>
      <c r="D34" s="2">
        <v>5</v>
      </c>
      <c r="E34" s="2" t="s">
        <v>48</v>
      </c>
      <c r="F34" s="1">
        <f>v_ps(B34,D34)</f>
        <v>1.0346353901862877</v>
      </c>
      <c r="G34" s="1" t="s">
        <v>75</v>
      </c>
      <c r="H34" s="2" t="s">
        <v>86</v>
      </c>
    </row>
    <row r="35" spans="1:8" s="12" customFormat="1" ht="15" x14ac:dyDescent="0.2">
      <c r="A35" s="20" t="s">
        <v>18</v>
      </c>
      <c r="F35" s="11"/>
      <c r="G35" s="11"/>
    </row>
    <row r="36" spans="1:8" s="8" customFormat="1" outlineLevel="1" x14ac:dyDescent="0.2">
      <c r="A36" s="1" t="s">
        <v>87</v>
      </c>
      <c r="B36" s="2">
        <v>1</v>
      </c>
      <c r="C36" s="2" t="s">
        <v>44</v>
      </c>
      <c r="D36" s="2"/>
      <c r="E36" s="2"/>
      <c r="F36" s="1">
        <f>rhoV_p(B36)</f>
        <v>0.59031092354457815</v>
      </c>
      <c r="G36" s="1" t="s">
        <v>19</v>
      </c>
      <c r="H36" s="2" t="s">
        <v>88</v>
      </c>
    </row>
    <row r="37" spans="1:8" s="8" customFormat="1" outlineLevel="1" x14ac:dyDescent="0.2">
      <c r="A37" s="1" t="s">
        <v>89</v>
      </c>
      <c r="B37" s="2">
        <v>1</v>
      </c>
      <c r="C37" s="2" t="s">
        <v>44</v>
      </c>
      <c r="D37" s="2"/>
      <c r="E37" s="2"/>
      <c r="F37" s="1">
        <f>rhoL_P(B37)</f>
        <v>958.63688967603287</v>
      </c>
      <c r="G37" s="1" t="s">
        <v>19</v>
      </c>
      <c r="H37" s="2" t="s">
        <v>90</v>
      </c>
    </row>
    <row r="38" spans="1:8" s="8" customFormat="1" outlineLevel="1" x14ac:dyDescent="0.2">
      <c r="A38" s="1" t="s">
        <v>91</v>
      </c>
      <c r="B38" s="2">
        <v>100</v>
      </c>
      <c r="C38" s="2" t="s">
        <v>10</v>
      </c>
      <c r="D38" s="2"/>
      <c r="E38" s="2"/>
      <c r="F38" s="1">
        <f>rhoV_T(B38)</f>
        <v>0.59813599252570293</v>
      </c>
      <c r="G38" s="1" t="s">
        <v>19</v>
      </c>
      <c r="H38" s="2" t="s">
        <v>88</v>
      </c>
    </row>
    <row r="39" spans="1:8" s="8" customFormat="1" outlineLevel="1" x14ac:dyDescent="0.2">
      <c r="A39" s="1" t="s">
        <v>92</v>
      </c>
      <c r="B39" s="2">
        <v>100</v>
      </c>
      <c r="C39" s="2" t="s">
        <v>10</v>
      </c>
      <c r="D39" s="2"/>
      <c r="E39" s="2"/>
      <c r="F39" s="1">
        <f>rhoL_T(B39)</f>
        <v>958.35427728589013</v>
      </c>
      <c r="G39" s="1" t="s">
        <v>19</v>
      </c>
      <c r="H39" s="2" t="s">
        <v>90</v>
      </c>
    </row>
    <row r="40" spans="1:8" s="8" customFormat="1" outlineLevel="1" x14ac:dyDescent="0.2">
      <c r="A40" s="1" t="s">
        <v>93</v>
      </c>
      <c r="B40" s="2">
        <v>1</v>
      </c>
      <c r="C40" s="2" t="s">
        <v>44</v>
      </c>
      <c r="D40" s="2">
        <v>100</v>
      </c>
      <c r="E40" s="2" t="s">
        <v>10</v>
      </c>
      <c r="F40" s="1">
        <f>rho_pT(B40,D40)</f>
        <v>0.5896367540624714</v>
      </c>
      <c r="G40" s="1" t="s">
        <v>19</v>
      </c>
      <c r="H40" s="2" t="s">
        <v>94</v>
      </c>
    </row>
    <row r="41" spans="1:8" s="8" customFormat="1" outlineLevel="1" x14ac:dyDescent="0.2">
      <c r="A41" s="1" t="s">
        <v>95</v>
      </c>
      <c r="B41" s="2">
        <v>1</v>
      </c>
      <c r="C41" s="2" t="s">
        <v>44</v>
      </c>
      <c r="D41" s="2">
        <v>1000</v>
      </c>
      <c r="E41" s="2" t="s">
        <v>17</v>
      </c>
      <c r="F41" s="1">
        <f>rho_ph(B41,D41)</f>
        <v>2.2834926007086289</v>
      </c>
      <c r="G41" s="1" t="s">
        <v>19</v>
      </c>
      <c r="H41" s="2" t="s">
        <v>96</v>
      </c>
    </row>
    <row r="42" spans="1:8" s="8" customFormat="1" outlineLevel="1" x14ac:dyDescent="0.2">
      <c r="A42" s="1" t="s">
        <v>97</v>
      </c>
      <c r="B42" s="2">
        <v>1</v>
      </c>
      <c r="C42" s="2" t="s">
        <v>44</v>
      </c>
      <c r="D42" s="2">
        <v>1</v>
      </c>
      <c r="E42" s="2" t="s">
        <v>48</v>
      </c>
      <c r="F42" s="1">
        <f>rho_ps(B42,D42)</f>
        <v>975.62367884823243</v>
      </c>
      <c r="G42" s="1" t="s">
        <v>19</v>
      </c>
      <c r="H42" s="2" t="s">
        <v>98</v>
      </c>
    </row>
    <row r="43" spans="1:8" s="12" customFormat="1" ht="15" x14ac:dyDescent="0.2">
      <c r="A43" s="20" t="s">
        <v>99</v>
      </c>
      <c r="F43" s="11"/>
      <c r="G43" s="11"/>
    </row>
    <row r="44" spans="1:8" s="8" customFormat="1" outlineLevel="1" x14ac:dyDescent="0.2">
      <c r="A44" s="1" t="s">
        <v>100</v>
      </c>
      <c r="B44" s="2">
        <v>6.117E-3</v>
      </c>
      <c r="C44" s="2" t="s">
        <v>44</v>
      </c>
      <c r="D44" s="2"/>
      <c r="E44" s="2"/>
      <c r="F44" s="1">
        <f>sV_p(B44)</f>
        <v>9.1554655557132456</v>
      </c>
      <c r="G44" s="1" t="s">
        <v>48</v>
      </c>
      <c r="H44" s="2" t="s">
        <v>101</v>
      </c>
    </row>
    <row r="45" spans="1:8" s="8" customFormat="1" outlineLevel="1" x14ac:dyDescent="0.2">
      <c r="A45" s="1" t="s">
        <v>102</v>
      </c>
      <c r="B45" s="2">
        <v>6.1171000000000003E-3</v>
      </c>
      <c r="C45" s="2" t="s">
        <v>44</v>
      </c>
      <c r="D45" s="2"/>
      <c r="E45" s="2"/>
      <c r="F45" s="1">
        <f>sL_p(B45)</f>
        <v>1.8359025119631999E-5</v>
      </c>
      <c r="G45" s="1" t="s">
        <v>48</v>
      </c>
      <c r="H45" s="2" t="s">
        <v>103</v>
      </c>
    </row>
    <row r="46" spans="1:8" s="8" customFormat="1" outlineLevel="1" x14ac:dyDescent="0.2">
      <c r="A46" s="1" t="s">
        <v>104</v>
      </c>
      <c r="B46" s="2">
        <v>1E-4</v>
      </c>
      <c r="C46" s="2" t="s">
        <v>10</v>
      </c>
      <c r="D46" s="2"/>
      <c r="E46" s="2"/>
      <c r="F46" s="1">
        <f>sV_T(B46)</f>
        <v>9.1557567158855857</v>
      </c>
      <c r="G46" s="1" t="s">
        <v>48</v>
      </c>
      <c r="H46" s="2" t="s">
        <v>101</v>
      </c>
    </row>
    <row r="47" spans="1:8" s="8" customFormat="1" outlineLevel="1" x14ac:dyDescent="0.2">
      <c r="A47" s="1" t="s">
        <v>105</v>
      </c>
      <c r="B47" s="2">
        <v>100</v>
      </c>
      <c r="C47" s="2" t="s">
        <v>10</v>
      </c>
      <c r="D47" s="2"/>
      <c r="E47" s="2"/>
      <c r="F47" s="1">
        <f>sL_T(B47)</f>
        <v>1.3070143278413395</v>
      </c>
      <c r="G47" s="1" t="s">
        <v>48</v>
      </c>
      <c r="H47" s="2" t="s">
        <v>103</v>
      </c>
    </row>
    <row r="48" spans="1:8" s="8" customFormat="1" outlineLevel="1" x14ac:dyDescent="0.2">
      <c r="A48" s="1" t="s">
        <v>106</v>
      </c>
      <c r="B48" s="2">
        <v>180</v>
      </c>
      <c r="C48" s="2" t="s">
        <v>44</v>
      </c>
      <c r="D48" s="2">
        <v>500</v>
      </c>
      <c r="E48" s="2" t="s">
        <v>10</v>
      </c>
      <c r="F48" s="1">
        <f>s_pT(B48,D48)</f>
        <v>6.2222040205811533</v>
      </c>
      <c r="G48" s="1" t="s">
        <v>48</v>
      </c>
      <c r="H48" s="2" t="s">
        <v>107</v>
      </c>
    </row>
    <row r="49" spans="1:8" s="8" customFormat="1" outlineLevel="1" x14ac:dyDescent="0.2">
      <c r="A49" s="1" t="s">
        <v>108</v>
      </c>
      <c r="B49" s="2">
        <v>1</v>
      </c>
      <c r="C49" s="2" t="s">
        <v>44</v>
      </c>
      <c r="D49" s="2">
        <f>F22</f>
        <v>3269.692464382264</v>
      </c>
      <c r="E49" s="2" t="s">
        <v>17</v>
      </c>
      <c r="F49" s="1">
        <f>s_ph(B49,D49)</f>
        <v>8.5318922631264744</v>
      </c>
      <c r="G49" s="1" t="s">
        <v>48</v>
      </c>
      <c r="H49" s="2" t="s">
        <v>109</v>
      </c>
    </row>
    <row r="50" spans="1:8" s="12" customFormat="1" ht="15" x14ac:dyDescent="0.2">
      <c r="A50" s="20" t="s">
        <v>110</v>
      </c>
      <c r="F50" s="11"/>
      <c r="G50" s="11"/>
    </row>
    <row r="51" spans="1:8" s="8" customFormat="1" outlineLevel="1" x14ac:dyDescent="0.2">
      <c r="A51" s="1" t="s">
        <v>111</v>
      </c>
      <c r="B51" s="2">
        <v>1</v>
      </c>
      <c r="C51" s="2" t="s">
        <v>44</v>
      </c>
      <c r="D51" s="2"/>
      <c r="E51" s="2"/>
      <c r="F51" s="1">
        <f>uV_p(B51)</f>
        <v>2505.5473885418778</v>
      </c>
      <c r="G51" s="1" t="s">
        <v>17</v>
      </c>
      <c r="H51" s="2" t="s">
        <v>112</v>
      </c>
    </row>
    <row r="52" spans="1:8" s="8" customFormat="1" outlineLevel="1" x14ac:dyDescent="0.2">
      <c r="A52" s="1" t="s">
        <v>113</v>
      </c>
      <c r="B52" s="2">
        <v>1</v>
      </c>
      <c r="C52" s="2" t="s">
        <v>44</v>
      </c>
      <c r="D52" s="2"/>
      <c r="E52" s="2"/>
      <c r="F52" s="1">
        <f>uL_p(B52)</f>
        <v>417.33217103231618</v>
      </c>
      <c r="G52" s="1" t="s">
        <v>17</v>
      </c>
      <c r="H52" s="2" t="s">
        <v>114</v>
      </c>
    </row>
    <row r="53" spans="1:8" s="8" customFormat="1" outlineLevel="1" x14ac:dyDescent="0.2">
      <c r="A53" s="1" t="s">
        <v>115</v>
      </c>
      <c r="B53" s="2">
        <v>100</v>
      </c>
      <c r="C53" s="2" t="s">
        <v>10</v>
      </c>
      <c r="D53" s="2"/>
      <c r="E53" s="2"/>
      <c r="F53" s="1">
        <f>uV_T(B53)</f>
        <v>2506.0153076915708</v>
      </c>
      <c r="G53" s="1" t="s">
        <v>17</v>
      </c>
      <c r="H53" s="2" t="s">
        <v>112</v>
      </c>
    </row>
    <row r="54" spans="1:8" s="8" customFormat="1" outlineLevel="1" x14ac:dyDescent="0.2">
      <c r="A54" s="1" t="s">
        <v>116</v>
      </c>
      <c r="B54" s="2">
        <v>100</v>
      </c>
      <c r="C54" s="2" t="s">
        <v>10</v>
      </c>
      <c r="D54" s="2"/>
      <c r="E54" s="2"/>
      <c r="F54" s="1">
        <f>uL_T(B54)</f>
        <v>418.99332985524268</v>
      </c>
      <c r="G54" s="1" t="s">
        <v>17</v>
      </c>
      <c r="H54" s="2" t="s">
        <v>114</v>
      </c>
    </row>
    <row r="55" spans="1:8" s="8" customFormat="1" outlineLevel="1" x14ac:dyDescent="0.2">
      <c r="A55" s="1" t="s">
        <v>117</v>
      </c>
      <c r="B55" s="2">
        <v>1</v>
      </c>
      <c r="C55" s="2" t="s">
        <v>44</v>
      </c>
      <c r="D55" s="2">
        <v>100</v>
      </c>
      <c r="E55" s="2" t="s">
        <v>10</v>
      </c>
      <c r="F55" s="1">
        <f>u_pT(B55,D55)</f>
        <v>2506.1714264660072</v>
      </c>
      <c r="G55" s="1" t="s">
        <v>17</v>
      </c>
      <c r="H55" s="2" t="s">
        <v>118</v>
      </c>
    </row>
    <row r="56" spans="1:8" s="8" customFormat="1" outlineLevel="1" x14ac:dyDescent="0.2">
      <c r="A56" s="1" t="s">
        <v>119</v>
      </c>
      <c r="B56" s="2">
        <v>1</v>
      </c>
      <c r="C56" s="2" t="s">
        <v>44</v>
      </c>
      <c r="D56" s="2">
        <v>1000</v>
      </c>
      <c r="E56" s="2" t="s">
        <v>17</v>
      </c>
      <c r="F56" s="1">
        <f>u_ph(B56,D56)</f>
        <v>956.20743418701375</v>
      </c>
      <c r="G56" s="1" t="s">
        <v>17</v>
      </c>
      <c r="H56" s="2" t="s">
        <v>120</v>
      </c>
    </row>
    <row r="57" spans="1:8" s="8" customFormat="1" outlineLevel="1" x14ac:dyDescent="0.2">
      <c r="A57" s="1" t="s">
        <v>121</v>
      </c>
      <c r="B57" s="2">
        <v>1</v>
      </c>
      <c r="C57" s="2" t="s">
        <v>44</v>
      </c>
      <c r="D57" s="2">
        <v>1</v>
      </c>
      <c r="E57" s="2" t="s">
        <v>48</v>
      </c>
      <c r="F57" s="1">
        <f>u_ps(B57,D57)</f>
        <v>308.50821854568443</v>
      </c>
      <c r="G57" s="1" t="s">
        <v>17</v>
      </c>
      <c r="H57" s="2" t="s">
        <v>122</v>
      </c>
    </row>
    <row r="58" spans="1:8" s="12" customFormat="1" ht="15" x14ac:dyDescent="0.2">
      <c r="A58" s="20" t="s">
        <v>123</v>
      </c>
      <c r="F58" s="11"/>
      <c r="G58" s="11"/>
    </row>
    <row r="59" spans="1:8" s="8" customFormat="1" outlineLevel="1" x14ac:dyDescent="0.2">
      <c r="A59" s="1" t="s">
        <v>124</v>
      </c>
      <c r="B59" s="2">
        <v>1</v>
      </c>
      <c r="C59" s="2" t="s">
        <v>44</v>
      </c>
      <c r="D59" s="2"/>
      <c r="E59" s="2"/>
      <c r="F59" s="1">
        <f>CpV_p(B59)</f>
        <v>2.0759380252044393</v>
      </c>
      <c r="G59" s="1" t="s">
        <v>125</v>
      </c>
      <c r="H59" s="2" t="s">
        <v>126</v>
      </c>
    </row>
    <row r="60" spans="1:8" s="8" customFormat="1" outlineLevel="1" x14ac:dyDescent="0.2">
      <c r="A60" s="1" t="s">
        <v>127</v>
      </c>
      <c r="B60" s="2">
        <v>1</v>
      </c>
      <c r="C60" s="2" t="s">
        <v>44</v>
      </c>
      <c r="D60" s="2"/>
      <c r="E60" s="2"/>
      <c r="F60" s="1">
        <f>CpL_p(B60)</f>
        <v>4.2161494308387475</v>
      </c>
      <c r="G60" s="1" t="s">
        <v>125</v>
      </c>
      <c r="H60" s="2" t="s">
        <v>128</v>
      </c>
    </row>
    <row r="61" spans="1:8" s="8" customFormat="1" outlineLevel="1" x14ac:dyDescent="0.2">
      <c r="A61" s="1" t="s">
        <v>129</v>
      </c>
      <c r="B61" s="2">
        <v>100</v>
      </c>
      <c r="C61" s="2" t="s">
        <v>10</v>
      </c>
      <c r="D61" s="2"/>
      <c r="E61" s="2"/>
      <c r="F61" s="1">
        <f>CpV_T(B61)</f>
        <v>2.0774918684822654</v>
      </c>
      <c r="G61" s="1" t="s">
        <v>125</v>
      </c>
      <c r="H61" s="2" t="s">
        <v>126</v>
      </c>
    </row>
    <row r="62" spans="1:8" s="8" customFormat="1" outlineLevel="1" x14ac:dyDescent="0.2">
      <c r="A62" s="1" t="s">
        <v>130</v>
      </c>
      <c r="B62" s="2">
        <v>100</v>
      </c>
      <c r="C62" s="2" t="s">
        <v>10</v>
      </c>
      <c r="D62" s="2"/>
      <c r="E62" s="2"/>
      <c r="F62" s="1">
        <f>CpL_T(B62)</f>
        <v>4.2166451189235845</v>
      </c>
      <c r="G62" s="1" t="s">
        <v>125</v>
      </c>
      <c r="H62" s="2" t="s">
        <v>128</v>
      </c>
    </row>
    <row r="63" spans="1:8" s="8" customFormat="1" outlineLevel="1" x14ac:dyDescent="0.2">
      <c r="A63" s="1" t="s">
        <v>131</v>
      </c>
      <c r="B63" s="2">
        <v>1</v>
      </c>
      <c r="C63" s="2" t="s">
        <v>44</v>
      </c>
      <c r="D63" s="2">
        <v>100</v>
      </c>
      <c r="E63" s="2" t="s">
        <v>10</v>
      </c>
      <c r="F63" s="1">
        <f>Cp_pT(B63,D63)</f>
        <v>2.0741085545801092</v>
      </c>
      <c r="G63" s="1" t="s">
        <v>125</v>
      </c>
      <c r="H63" s="2" t="s">
        <v>132</v>
      </c>
    </row>
    <row r="64" spans="1:8" s="8" customFormat="1" outlineLevel="1" x14ac:dyDescent="0.2">
      <c r="A64" s="1" t="s">
        <v>133</v>
      </c>
      <c r="B64" s="2">
        <v>1</v>
      </c>
      <c r="C64" s="2" t="s">
        <v>44</v>
      </c>
      <c r="D64" s="2">
        <v>200</v>
      </c>
      <c r="E64" s="2" t="s">
        <v>17</v>
      </c>
      <c r="F64" s="1">
        <f>Cp_ph(B64,D64)</f>
        <v>4.1791357316880209</v>
      </c>
      <c r="G64" s="1" t="s">
        <v>125</v>
      </c>
      <c r="H64" s="2" t="s">
        <v>134</v>
      </c>
    </row>
    <row r="65" spans="1:8" s="8" customFormat="1" outlineLevel="1" x14ac:dyDescent="0.2">
      <c r="A65" s="1" t="s">
        <v>135</v>
      </c>
      <c r="B65" s="2">
        <v>1</v>
      </c>
      <c r="C65" s="2" t="s">
        <v>44</v>
      </c>
      <c r="D65" s="2">
        <v>1</v>
      </c>
      <c r="E65" s="2" t="s">
        <v>48</v>
      </c>
      <c r="F65" s="1">
        <f>Cp_ps(B65,D65)</f>
        <v>4.1906070379012936</v>
      </c>
      <c r="G65" s="1" t="s">
        <v>125</v>
      </c>
      <c r="H65" s="2" t="s">
        <v>136</v>
      </c>
    </row>
    <row r="66" spans="1:8" s="12" customFormat="1" ht="15" x14ac:dyDescent="0.2">
      <c r="A66" s="20" t="s">
        <v>137</v>
      </c>
      <c r="F66" s="11"/>
      <c r="G66" s="11"/>
    </row>
    <row r="67" spans="1:8" s="8" customFormat="1" outlineLevel="1" x14ac:dyDescent="0.2">
      <c r="A67" s="1" t="s">
        <v>138</v>
      </c>
      <c r="B67" s="2">
        <v>1</v>
      </c>
      <c r="C67" s="2" t="s">
        <v>44</v>
      </c>
      <c r="D67" s="2"/>
      <c r="E67" s="2"/>
      <c r="F67" s="1">
        <f>CvV_p(B67)</f>
        <v>1.5526969793308025</v>
      </c>
      <c r="G67" s="1" t="s">
        <v>125</v>
      </c>
      <c r="H67" s="2" t="s">
        <v>139</v>
      </c>
    </row>
    <row r="68" spans="1:8" s="8" customFormat="1" outlineLevel="1" x14ac:dyDescent="0.2">
      <c r="A68" s="1" t="s">
        <v>140</v>
      </c>
      <c r="B68" s="2">
        <v>1</v>
      </c>
      <c r="C68" s="2" t="s">
        <v>44</v>
      </c>
      <c r="D68" s="2"/>
      <c r="E68" s="2"/>
      <c r="F68" s="1">
        <f>CvL_p(B68)</f>
        <v>3.7696996827334974</v>
      </c>
      <c r="G68" s="1" t="s">
        <v>125</v>
      </c>
      <c r="H68" s="2" t="s">
        <v>141</v>
      </c>
    </row>
    <row r="69" spans="1:8" s="8" customFormat="1" outlineLevel="1" x14ac:dyDescent="0.2">
      <c r="A69" s="1" t="s">
        <v>142</v>
      </c>
      <c r="B69" s="2">
        <v>100</v>
      </c>
      <c r="C69" s="2" t="s">
        <v>10</v>
      </c>
      <c r="D69" s="2"/>
      <c r="E69" s="2"/>
      <c r="F69" s="1">
        <f>CvV_T(B69)</f>
        <v>1.5536986960345103</v>
      </c>
      <c r="G69" s="1" t="s">
        <v>125</v>
      </c>
      <c r="H69" s="2" t="s">
        <v>139</v>
      </c>
    </row>
    <row r="70" spans="1:8" s="8" customFormat="1" outlineLevel="1" x14ac:dyDescent="0.2">
      <c r="A70" s="1" t="s">
        <v>143</v>
      </c>
      <c r="B70" s="2">
        <v>100</v>
      </c>
      <c r="C70" s="2" t="s">
        <v>10</v>
      </c>
      <c r="D70" s="2"/>
      <c r="E70" s="2"/>
      <c r="F70" s="1">
        <f>CvL_T(B70)</f>
        <v>3.7677002201427507</v>
      </c>
      <c r="G70" s="1" t="s">
        <v>125</v>
      </c>
      <c r="H70" s="2" t="s">
        <v>141</v>
      </c>
    </row>
    <row r="71" spans="1:8" s="8" customFormat="1" outlineLevel="1" x14ac:dyDescent="0.2">
      <c r="A71" s="1" t="s">
        <v>144</v>
      </c>
      <c r="B71" s="2">
        <v>1</v>
      </c>
      <c r="C71" s="2" t="s">
        <v>44</v>
      </c>
      <c r="D71" s="2">
        <v>100</v>
      </c>
      <c r="E71" s="2" t="s">
        <v>10</v>
      </c>
      <c r="F71" s="1">
        <f>Cv_pT(B71,D71)</f>
        <v>1.5513972494644879</v>
      </c>
      <c r="G71" s="1" t="s">
        <v>125</v>
      </c>
      <c r="H71" s="2" t="s">
        <v>145</v>
      </c>
    </row>
    <row r="72" spans="1:8" s="8" customFormat="1" outlineLevel="1" x14ac:dyDescent="0.2">
      <c r="A72" s="1" t="s">
        <v>146</v>
      </c>
      <c r="B72" s="2">
        <v>1</v>
      </c>
      <c r="C72" s="2" t="s">
        <v>44</v>
      </c>
      <c r="D72" s="2">
        <v>200</v>
      </c>
      <c r="E72" s="2" t="s">
        <v>17</v>
      </c>
      <c r="F72" s="1">
        <f>Cv_ph(B72,D72)</f>
        <v>4.0351763635796729</v>
      </c>
      <c r="G72" s="1" t="s">
        <v>125</v>
      </c>
      <c r="H72" s="2" t="s">
        <v>147</v>
      </c>
    </row>
    <row r="73" spans="1:8" s="8" customFormat="1" outlineLevel="1" x14ac:dyDescent="0.2">
      <c r="A73" s="1" t="s">
        <v>148</v>
      </c>
      <c r="B73" s="2">
        <v>1</v>
      </c>
      <c r="C73" s="2" t="s">
        <v>44</v>
      </c>
      <c r="D73" s="2">
        <v>1</v>
      </c>
      <c r="E73" s="2" t="s">
        <v>48</v>
      </c>
      <c r="F73" s="1">
        <f>Cv_ps(B73,D73)</f>
        <v>3.9029194681136645</v>
      </c>
      <c r="G73" s="1" t="s">
        <v>125</v>
      </c>
      <c r="H73" s="2" t="s">
        <v>149</v>
      </c>
    </row>
    <row r="74" spans="1:8" s="12" customFormat="1" ht="15" x14ac:dyDescent="0.2">
      <c r="A74" s="20" t="s">
        <v>150</v>
      </c>
      <c r="F74" s="11"/>
      <c r="G74" s="11"/>
    </row>
    <row r="75" spans="1:8" s="8" customFormat="1" outlineLevel="1" x14ac:dyDescent="0.2">
      <c r="A75" s="1" t="s">
        <v>151</v>
      </c>
      <c r="B75" s="2">
        <v>1</v>
      </c>
      <c r="C75" s="2" t="s">
        <v>44</v>
      </c>
      <c r="D75" s="2"/>
      <c r="E75" s="2"/>
      <c r="F75" s="1">
        <f>wV_p(B75)</f>
        <v>472.05415710604763</v>
      </c>
      <c r="G75" s="1" t="s">
        <v>36</v>
      </c>
      <c r="H75" s="2" t="s">
        <v>152</v>
      </c>
    </row>
    <row r="76" spans="1:8" s="8" customFormat="1" outlineLevel="1" x14ac:dyDescent="0.2">
      <c r="A76" s="1" t="s">
        <v>153</v>
      </c>
      <c r="B76" s="2">
        <v>1</v>
      </c>
      <c r="C76" s="2" t="s">
        <v>44</v>
      </c>
      <c r="D76" s="2"/>
      <c r="E76" s="2"/>
      <c r="F76" s="1">
        <f>wL_p(B76)</f>
        <v>1545.4519475339648</v>
      </c>
      <c r="G76" s="1" t="s">
        <v>36</v>
      </c>
      <c r="H76" s="2" t="s">
        <v>154</v>
      </c>
    </row>
    <row r="77" spans="1:8" s="8" customFormat="1" outlineLevel="1" x14ac:dyDescent="0.2">
      <c r="A77" s="1" t="s">
        <v>155</v>
      </c>
      <c r="B77" s="2">
        <v>100</v>
      </c>
      <c r="C77" s="2" t="s">
        <v>10</v>
      </c>
      <c r="D77" s="2"/>
      <c r="E77" s="2"/>
      <c r="F77" s="1">
        <f>wV_T(B77)</f>
        <v>472.2559492389438</v>
      </c>
      <c r="G77" s="1" t="s">
        <v>36</v>
      </c>
      <c r="H77" s="2" t="s">
        <v>152</v>
      </c>
    </row>
    <row r="78" spans="1:8" s="8" customFormat="1" outlineLevel="1" x14ac:dyDescent="0.2">
      <c r="A78" s="1" t="s">
        <v>156</v>
      </c>
      <c r="B78" s="2">
        <v>100</v>
      </c>
      <c r="C78" s="2" t="s">
        <v>10</v>
      </c>
      <c r="D78" s="2"/>
      <c r="E78" s="2"/>
      <c r="F78" s="1">
        <f>wL_T(B78)</f>
        <v>1545.0922491938707</v>
      </c>
      <c r="G78" s="1" t="s">
        <v>36</v>
      </c>
      <c r="H78" s="2" t="s">
        <v>154</v>
      </c>
    </row>
    <row r="79" spans="1:8" s="8" customFormat="1" outlineLevel="1" x14ac:dyDescent="0.2">
      <c r="A79" s="1" t="s">
        <v>157</v>
      </c>
      <c r="B79" s="2">
        <v>1</v>
      </c>
      <c r="C79" s="2" t="s">
        <v>44</v>
      </c>
      <c r="D79" s="2">
        <v>100</v>
      </c>
      <c r="E79" s="2" t="s">
        <v>10</v>
      </c>
      <c r="F79" s="1">
        <f>w_pT(B79,D79)</f>
        <v>472.33752352485521</v>
      </c>
      <c r="G79" s="1" t="s">
        <v>36</v>
      </c>
      <c r="H79" s="2" t="s">
        <v>158</v>
      </c>
    </row>
    <row r="80" spans="1:8" s="8" customFormat="1" outlineLevel="1" x14ac:dyDescent="0.2">
      <c r="A80" s="1" t="s">
        <v>159</v>
      </c>
      <c r="B80" s="2">
        <v>1</v>
      </c>
      <c r="C80" s="2" t="s">
        <v>44</v>
      </c>
      <c r="D80" s="2">
        <v>200</v>
      </c>
      <c r="E80" s="2" t="s">
        <v>17</v>
      </c>
      <c r="F80" s="1">
        <f>w_ph(B80,D80)</f>
        <v>1542.6824750114695</v>
      </c>
      <c r="G80" s="1" t="s">
        <v>36</v>
      </c>
      <c r="H80" s="2" t="s">
        <v>160</v>
      </c>
    </row>
    <row r="81" spans="1:8" s="8" customFormat="1" outlineLevel="1" x14ac:dyDescent="0.2">
      <c r="A81" s="1" t="s">
        <v>161</v>
      </c>
      <c r="B81" s="2">
        <v>1</v>
      </c>
      <c r="C81" s="2" t="s">
        <v>44</v>
      </c>
      <c r="D81" s="2">
        <v>1</v>
      </c>
      <c r="E81" s="2" t="s">
        <v>48</v>
      </c>
      <c r="F81" s="1">
        <f>w_ps(B81,D81)</f>
        <v>1557.8585355322159</v>
      </c>
      <c r="G81" s="1" t="s">
        <v>36</v>
      </c>
      <c r="H81" s="2" t="s">
        <v>162</v>
      </c>
    </row>
    <row r="82" spans="1:8" s="12" customFormat="1" ht="15" x14ac:dyDescent="0.2">
      <c r="A82" s="20" t="s">
        <v>163</v>
      </c>
      <c r="F82" s="11"/>
      <c r="G82" s="11"/>
    </row>
    <row r="83" spans="1:8" s="8" customFormat="1" ht="11.25" outlineLevel="1" x14ac:dyDescent="0.2">
      <c r="A83" s="8" t="s">
        <v>164</v>
      </c>
      <c r="F83" s="10"/>
      <c r="G83" s="10"/>
    </row>
    <row r="84" spans="1:8" s="8" customFormat="1" ht="11.25" outlineLevel="1" x14ac:dyDescent="0.2">
      <c r="A84" s="8" t="s">
        <v>165</v>
      </c>
      <c r="F84" s="10"/>
      <c r="G84" s="10"/>
    </row>
    <row r="85" spans="1:8" s="8" customFormat="1" outlineLevel="1" x14ac:dyDescent="0.2">
      <c r="A85" s="1" t="s">
        <v>166</v>
      </c>
      <c r="B85" s="2">
        <v>1</v>
      </c>
      <c r="C85" s="2" t="s">
        <v>44</v>
      </c>
      <c r="D85" s="2">
        <v>100</v>
      </c>
      <c r="E85" s="2" t="s">
        <v>10</v>
      </c>
      <c r="F85" s="1">
        <f>my_pT(B85,D85)</f>
        <v>1.2270405707196506E-5</v>
      </c>
      <c r="G85" s="1" t="s">
        <v>167</v>
      </c>
      <c r="H85" s="2" t="s">
        <v>168</v>
      </c>
    </row>
    <row r="86" spans="1:8" s="8" customFormat="1" outlineLevel="1" x14ac:dyDescent="0.2">
      <c r="A86" s="1" t="s">
        <v>169</v>
      </c>
      <c r="B86" s="2">
        <v>1</v>
      </c>
      <c r="C86" s="2" t="s">
        <v>44</v>
      </c>
      <c r="D86" s="2">
        <v>100</v>
      </c>
      <c r="E86" s="2" t="s">
        <v>17</v>
      </c>
      <c r="F86" s="9">
        <f>my_ph(B86,D86)</f>
        <v>9.1400377030210805E-4</v>
      </c>
      <c r="G86" s="1" t="s">
        <v>167</v>
      </c>
      <c r="H86" s="2" t="s">
        <v>170</v>
      </c>
    </row>
    <row r="87" spans="1:8" s="8" customFormat="1" outlineLevel="1" x14ac:dyDescent="0.2">
      <c r="A87" s="1" t="s">
        <v>171</v>
      </c>
      <c r="B87" s="2">
        <v>1</v>
      </c>
      <c r="C87" s="2" t="s">
        <v>44</v>
      </c>
      <c r="D87" s="2">
        <v>1</v>
      </c>
      <c r="E87" s="2" t="s">
        <v>48</v>
      </c>
      <c r="F87" s="9">
        <f>my_ps(B87,D87)</f>
        <v>3.8422186564756434E-4</v>
      </c>
      <c r="G87" s="1" t="s">
        <v>167</v>
      </c>
      <c r="H87" s="2" t="s">
        <v>172</v>
      </c>
    </row>
    <row r="88" spans="1:8" ht="18" x14ac:dyDescent="0.25">
      <c r="A88" s="6" t="s">
        <v>173</v>
      </c>
      <c r="F88" s="9"/>
    </row>
    <row r="89" spans="1:8" outlineLevel="1" x14ac:dyDescent="0.2">
      <c r="A89" s="8" t="s">
        <v>174</v>
      </c>
      <c r="F89" s="9"/>
    </row>
    <row r="90" spans="1:8" outlineLevel="1" x14ac:dyDescent="0.2">
      <c r="A90" s="1" t="s">
        <v>175</v>
      </c>
      <c r="B90">
        <v>1</v>
      </c>
      <c r="C90" t="s">
        <v>44</v>
      </c>
      <c r="D90">
        <v>200</v>
      </c>
      <c r="E90" t="s">
        <v>10</v>
      </c>
      <c r="F90" s="9">
        <f>pr_pT(B90,D90)</f>
        <v>0.95780821438588049</v>
      </c>
      <c r="G90" s="1" t="s">
        <v>176</v>
      </c>
    </row>
    <row r="91" spans="1:8" outlineLevel="1" x14ac:dyDescent="0.2">
      <c r="A91" s="1" t="s">
        <v>177</v>
      </c>
      <c r="B91">
        <v>1</v>
      </c>
      <c r="C91" t="s">
        <v>44</v>
      </c>
      <c r="D91">
        <v>2875.4750649489024</v>
      </c>
      <c r="E91" t="s">
        <v>17</v>
      </c>
      <c r="F91" s="9">
        <f>pr_ph(B91,D91)</f>
        <v>0.95780826148355769</v>
      </c>
      <c r="G91" s="1" t="s">
        <v>176</v>
      </c>
    </row>
    <row r="92" spans="1:8" s="12" customFormat="1" ht="15" x14ac:dyDescent="0.2">
      <c r="A92" s="20" t="s">
        <v>178</v>
      </c>
      <c r="F92" s="11"/>
      <c r="G92" s="11"/>
    </row>
    <row r="93" spans="1:8" s="8" customFormat="1" ht="11.25" outlineLevel="1" x14ac:dyDescent="0.2">
      <c r="A93" s="8" t="s">
        <v>179</v>
      </c>
      <c r="F93" s="10"/>
      <c r="G93" s="10"/>
    </row>
    <row r="94" spans="1:8" s="8" customFormat="1" outlineLevel="1" x14ac:dyDescent="0.2">
      <c r="A94" s="1" t="s">
        <v>180</v>
      </c>
      <c r="B94" s="2">
        <v>100</v>
      </c>
      <c r="C94" s="2" t="s">
        <v>44</v>
      </c>
      <c r="D94" s="2"/>
      <c r="E94" s="2"/>
      <c r="F94" s="1">
        <f>tcL_p(B94)</f>
        <v>0.52454019458257217</v>
      </c>
      <c r="G94" s="1" t="s">
        <v>181</v>
      </c>
      <c r="H94" s="2" t="s">
        <v>182</v>
      </c>
    </row>
    <row r="95" spans="1:8" s="8" customFormat="1" outlineLevel="1" x14ac:dyDescent="0.2">
      <c r="A95" s="1" t="s">
        <v>183</v>
      </c>
      <c r="B95" s="2">
        <v>1</v>
      </c>
      <c r="C95" s="2" t="s">
        <v>44</v>
      </c>
      <c r="D95" s="2"/>
      <c r="E95" s="2"/>
      <c r="F95" s="1">
        <f>tcV_p(B95)</f>
        <v>2.4753667592350453E-2</v>
      </c>
      <c r="G95" s="1" t="s">
        <v>181</v>
      </c>
      <c r="H95" s="2" t="s">
        <v>184</v>
      </c>
    </row>
    <row r="96" spans="1:8" s="8" customFormat="1" outlineLevel="1" x14ac:dyDescent="0.2">
      <c r="A96" s="1" t="s">
        <v>185</v>
      </c>
      <c r="B96" s="2">
        <v>100</v>
      </c>
      <c r="C96" s="2" t="s">
        <v>10</v>
      </c>
      <c r="D96" s="2"/>
      <c r="E96" s="2"/>
      <c r="F96" s="1">
        <f>tcL_T(B96)</f>
        <v>0.67775751158715036</v>
      </c>
      <c r="G96" s="1" t="s">
        <v>181</v>
      </c>
      <c r="H96" s="2" t="s">
        <v>182</v>
      </c>
    </row>
    <row r="97" spans="1:8" s="8" customFormat="1" outlineLevel="1" x14ac:dyDescent="0.2">
      <c r="A97" s="1" t="s">
        <v>186</v>
      </c>
      <c r="B97" s="2">
        <v>100</v>
      </c>
      <c r="C97" s="2" t="s">
        <v>10</v>
      </c>
      <c r="D97" s="2"/>
      <c r="E97" s="2"/>
      <c r="F97" s="1">
        <f>tcV_T(B97)</f>
        <v>2.4793871441017475E-2</v>
      </c>
      <c r="G97" s="1" t="s">
        <v>181</v>
      </c>
      <c r="H97" s="2" t="s">
        <v>184</v>
      </c>
    </row>
    <row r="98" spans="1:8" s="8" customFormat="1" outlineLevel="1" x14ac:dyDescent="0.2">
      <c r="A98" s="1" t="s">
        <v>187</v>
      </c>
      <c r="B98" s="2">
        <v>100</v>
      </c>
      <c r="C98" s="2" t="s">
        <v>44</v>
      </c>
      <c r="D98" s="2">
        <v>350</v>
      </c>
      <c r="E98" s="2" t="s">
        <v>10</v>
      </c>
      <c r="F98" s="1">
        <f>tc_pt(B98,D98)</f>
        <v>6.8545303752530942E-2</v>
      </c>
      <c r="G98" s="1" t="s">
        <v>181</v>
      </c>
      <c r="H98" s="2" t="s">
        <v>188</v>
      </c>
    </row>
    <row r="99" spans="1:8" s="8" customFormat="1" outlineLevel="1" x14ac:dyDescent="0.2">
      <c r="A99" s="1" t="s">
        <v>189</v>
      </c>
      <c r="B99" s="2">
        <v>1</v>
      </c>
      <c r="C99" s="2" t="s">
        <v>44</v>
      </c>
      <c r="D99" s="2">
        <v>350</v>
      </c>
      <c r="E99" s="2" t="s">
        <v>48</v>
      </c>
      <c r="F99" s="1">
        <f>tc_ph(B99,D99)</f>
        <v>0.66929633215745066</v>
      </c>
      <c r="G99" s="1" t="s">
        <v>181</v>
      </c>
      <c r="H99" s="2" t="s">
        <v>190</v>
      </c>
    </row>
    <row r="100" spans="1:8" s="8" customFormat="1" outlineLevel="1" x14ac:dyDescent="0.2">
      <c r="A100" s="1" t="s">
        <v>191</v>
      </c>
      <c r="B100" s="2">
        <v>100</v>
      </c>
      <c r="C100" s="2" t="s">
        <v>48</v>
      </c>
      <c r="D100" s="2">
        <v>0.34</v>
      </c>
      <c r="E100" s="2" t="s">
        <v>48</v>
      </c>
      <c r="F100" s="1">
        <f>tc_hs(B100,D100)</f>
        <v>0.60628312384891225</v>
      </c>
      <c r="G100" s="1" t="s">
        <v>181</v>
      </c>
      <c r="H100" s="2" t="s">
        <v>192</v>
      </c>
    </row>
    <row r="101" spans="1:8" s="8" customFormat="1" ht="15" x14ac:dyDescent="0.2">
      <c r="A101" s="20" t="s">
        <v>193</v>
      </c>
      <c r="B101" s="2"/>
      <c r="C101" s="2"/>
      <c r="D101" s="2"/>
      <c r="E101" s="2"/>
      <c r="F101" s="1"/>
      <c r="G101" s="1"/>
      <c r="H101" s="2"/>
    </row>
    <row r="102" spans="1:8" s="8" customFormat="1" ht="11.25" outlineLevel="1" x14ac:dyDescent="0.2">
      <c r="A102" s="8" t="s">
        <v>194</v>
      </c>
      <c r="F102" s="10"/>
      <c r="G102" s="10"/>
    </row>
    <row r="103" spans="1:8" s="8" customFormat="1" outlineLevel="1" x14ac:dyDescent="0.2">
      <c r="A103" s="1" t="s">
        <v>195</v>
      </c>
      <c r="B103" s="2">
        <v>100</v>
      </c>
      <c r="C103" s="2" t="s">
        <v>10</v>
      </c>
      <c r="D103" s="2"/>
      <c r="E103" s="2"/>
      <c r="F103" s="1">
        <f>st_T(B104)</f>
        <v>7.5507661585837646E-2</v>
      </c>
      <c r="G103" s="1" t="s">
        <v>196</v>
      </c>
      <c r="H103" s="2" t="s">
        <v>197</v>
      </c>
    </row>
    <row r="104" spans="1:8" s="8" customFormat="1" outlineLevel="1" x14ac:dyDescent="0.2">
      <c r="A104" s="1" t="s">
        <v>198</v>
      </c>
      <c r="B104" s="2">
        <v>1</v>
      </c>
      <c r="C104" s="2" t="s">
        <v>44</v>
      </c>
      <c r="D104" s="2"/>
      <c r="E104" s="2"/>
      <c r="F104" s="1">
        <f>st_p(B104)</f>
        <v>5.8987784180859933E-2</v>
      </c>
      <c r="G104" s="1" t="s">
        <v>196</v>
      </c>
      <c r="H104" s="2" t="s">
        <v>197</v>
      </c>
    </row>
    <row r="105" spans="1:8" s="12" customFormat="1" ht="15" x14ac:dyDescent="0.2">
      <c r="A105" s="20" t="s">
        <v>30</v>
      </c>
      <c r="F105" s="11"/>
      <c r="G105" s="11"/>
    </row>
    <row r="106" spans="1:8" s="8" customFormat="1" outlineLevel="1" x14ac:dyDescent="0.2">
      <c r="A106" s="1" t="s">
        <v>199</v>
      </c>
      <c r="B106" s="2">
        <v>1</v>
      </c>
      <c r="C106" s="2" t="s">
        <v>44</v>
      </c>
      <c r="D106" s="2">
        <v>1000</v>
      </c>
      <c r="E106" s="2" t="s">
        <v>17</v>
      </c>
      <c r="F106" s="1">
        <f>x_ph(B106,D106)</f>
        <v>0.25805542390279518</v>
      </c>
      <c r="G106" s="1"/>
      <c r="H106" s="2" t="s">
        <v>200</v>
      </c>
    </row>
    <row r="107" spans="1:8" s="8" customFormat="1" outlineLevel="1" x14ac:dyDescent="0.2">
      <c r="A107" s="1" t="s">
        <v>201</v>
      </c>
      <c r="B107" s="2">
        <v>1</v>
      </c>
      <c r="C107" s="2" t="s">
        <v>44</v>
      </c>
      <c r="D107" s="2">
        <v>4</v>
      </c>
      <c r="E107" s="2" t="s">
        <v>48</v>
      </c>
      <c r="F107" s="1">
        <f>x_ps(B107,D107)</f>
        <v>0.4453979607323203</v>
      </c>
      <c r="G107" s="1"/>
      <c r="H107" s="2" t="s">
        <v>202</v>
      </c>
    </row>
    <row r="108" spans="1:8" s="12" customFormat="1" ht="15" x14ac:dyDescent="0.2">
      <c r="A108" s="20" t="s">
        <v>203</v>
      </c>
      <c r="F108" s="11"/>
      <c r="G108" s="11"/>
    </row>
    <row r="109" spans="1:8" s="8" customFormat="1" ht="11.25" outlineLevel="1" x14ac:dyDescent="0.2">
      <c r="A109" s="8" t="s">
        <v>204</v>
      </c>
      <c r="F109" s="10"/>
      <c r="G109" s="10"/>
    </row>
    <row r="110" spans="1:8" s="8" customFormat="1" ht="11.25" outlineLevel="1" x14ac:dyDescent="0.2">
      <c r="A110" s="8" t="s">
        <v>205</v>
      </c>
      <c r="F110" s="10"/>
      <c r="G110" s="10"/>
    </row>
    <row r="111" spans="1:8" s="8" customFormat="1" outlineLevel="1" x14ac:dyDescent="0.2">
      <c r="A111" s="1" t="s">
        <v>206</v>
      </c>
      <c r="B111" s="2">
        <v>1</v>
      </c>
      <c r="C111" s="2" t="s">
        <v>44</v>
      </c>
      <c r="D111" s="2">
        <v>418</v>
      </c>
      <c r="E111" s="2" t="s">
        <v>17</v>
      </c>
      <c r="F111" s="7">
        <f>vx_ph(B111,D111)</f>
        <v>0.28849309343706725</v>
      </c>
      <c r="G111" s="1"/>
      <c r="H111" s="2" t="s">
        <v>207</v>
      </c>
    </row>
    <row r="112" spans="1:8" s="8" customFormat="1" outlineLevel="1" x14ac:dyDescent="0.2">
      <c r="A112" s="1" t="s">
        <v>208</v>
      </c>
      <c r="B112" s="2">
        <v>1</v>
      </c>
      <c r="C112" s="2" t="s">
        <v>44</v>
      </c>
      <c r="D112" s="2">
        <v>4</v>
      </c>
      <c r="E112" s="2" t="s">
        <v>48</v>
      </c>
      <c r="F112" s="7">
        <f>vx_ps(B112,D112)</f>
        <v>0.99923382663888027</v>
      </c>
      <c r="G112" s="1"/>
      <c r="H112" s="2" t="s">
        <v>209</v>
      </c>
    </row>
    <row r="113" spans="1:7" s="8" customFormat="1" ht="11.25" x14ac:dyDescent="0.2">
      <c r="F113" s="10"/>
      <c r="G113" s="10"/>
    </row>
    <row r="114" spans="1:7" ht="15" x14ac:dyDescent="0.2">
      <c r="A114" s="20" t="s">
        <v>210</v>
      </c>
    </row>
    <row r="115" spans="1:7" x14ac:dyDescent="0.2">
      <c r="A115" s="10" t="s">
        <v>211</v>
      </c>
    </row>
    <row r="116" spans="1:7" x14ac:dyDescent="0.2">
      <c r="A116" s="8" t="s">
        <v>212</v>
      </c>
    </row>
    <row r="117" spans="1:7" x14ac:dyDescent="0.2">
      <c r="A117" s="8" t="s">
        <v>213</v>
      </c>
    </row>
    <row r="118" spans="1:7" x14ac:dyDescent="0.2">
      <c r="A118" s="10" t="s">
        <v>214</v>
      </c>
    </row>
    <row r="119" spans="1:7" x14ac:dyDescent="0.2">
      <c r="A119" s="8" t="s">
        <v>215</v>
      </c>
    </row>
    <row r="120" spans="1:7" x14ac:dyDescent="0.2">
      <c r="A120" s="8" t="s">
        <v>216</v>
      </c>
    </row>
    <row r="121" spans="1:7" x14ac:dyDescent="0.2">
      <c r="A121" s="8" t="s">
        <v>217</v>
      </c>
    </row>
    <row r="122" spans="1:7" x14ac:dyDescent="0.2">
      <c r="A122" s="10" t="s">
        <v>218</v>
      </c>
    </row>
    <row r="123" spans="1:7" x14ac:dyDescent="0.2">
      <c r="A123" s="8" t="s">
        <v>219</v>
      </c>
    </row>
    <row r="124" spans="1:7" x14ac:dyDescent="0.2">
      <c r="A124" s="10" t="s">
        <v>220</v>
      </c>
    </row>
    <row r="125" spans="1:7" x14ac:dyDescent="0.2">
      <c r="A125" s="8" t="s">
        <v>221</v>
      </c>
    </row>
    <row r="126" spans="1:7" x14ac:dyDescent="0.2">
      <c r="A126" s="8" t="s">
        <v>222</v>
      </c>
    </row>
    <row r="127" spans="1:7" ht="10.9" customHeight="1" x14ac:dyDescent="0.2">
      <c r="A127" s="8" t="s">
        <v>223</v>
      </c>
    </row>
    <row r="128" spans="1:7" ht="11.65" customHeight="1" x14ac:dyDescent="0.2">
      <c r="A128" s="8" t="s">
        <v>224</v>
      </c>
    </row>
    <row r="129" spans="1:1" ht="11.65" customHeight="1" x14ac:dyDescent="0.2">
      <c r="A129" s="10" t="s">
        <v>225</v>
      </c>
    </row>
    <row r="130" spans="1:1" x14ac:dyDescent="0.2">
      <c r="A130" s="8" t="s">
        <v>226</v>
      </c>
    </row>
    <row r="131" spans="1:1" x14ac:dyDescent="0.2">
      <c r="A131" s="8" t="s">
        <v>227</v>
      </c>
    </row>
    <row r="132" spans="1:1" x14ac:dyDescent="0.2">
      <c r="A132" s="8" t="s">
        <v>228</v>
      </c>
    </row>
    <row r="133" spans="1:1" x14ac:dyDescent="0.2">
      <c r="A133" s="8" t="s">
        <v>229</v>
      </c>
    </row>
    <row r="134" spans="1:1" x14ac:dyDescent="0.2">
      <c r="A134" s="8" t="s">
        <v>230</v>
      </c>
    </row>
    <row r="135" spans="1:1" x14ac:dyDescent="0.2">
      <c r="A135" s="10" t="s">
        <v>231</v>
      </c>
    </row>
    <row r="136" spans="1:1" x14ac:dyDescent="0.2">
      <c r="A136" s="8" t="s">
        <v>227</v>
      </c>
    </row>
    <row r="137" spans="1:1" x14ac:dyDescent="0.2">
      <c r="A137" s="8" t="s">
        <v>232</v>
      </c>
    </row>
    <row r="138" spans="1:1" x14ac:dyDescent="0.2">
      <c r="A138" s="8" t="s">
        <v>233</v>
      </c>
    </row>
    <row r="139" spans="1:1" x14ac:dyDescent="0.2">
      <c r="A139" s="8" t="s">
        <v>234</v>
      </c>
    </row>
    <row r="140" spans="1:1" x14ac:dyDescent="0.2">
      <c r="A140" s="8" t="s">
        <v>235</v>
      </c>
    </row>
    <row r="141" spans="1:1" x14ac:dyDescent="0.2">
      <c r="A141" s="10" t="s">
        <v>236</v>
      </c>
    </row>
    <row r="142" spans="1:1" x14ac:dyDescent="0.2">
      <c r="A142" s="8" t="s">
        <v>237</v>
      </c>
    </row>
    <row r="143" spans="1:1" x14ac:dyDescent="0.2">
      <c r="A143" s="8" t="s">
        <v>238</v>
      </c>
    </row>
    <row r="144" spans="1:1" x14ac:dyDescent="0.2">
      <c r="A144" s="8" t="s">
        <v>239</v>
      </c>
    </row>
    <row r="145" spans="1:1" x14ac:dyDescent="0.2">
      <c r="A145" s="10" t="s">
        <v>240</v>
      </c>
    </row>
    <row r="146" spans="1:1" x14ac:dyDescent="0.2">
      <c r="A146" s="8" t="s">
        <v>241</v>
      </c>
    </row>
    <row r="147" spans="1:1" x14ac:dyDescent="0.2">
      <c r="A147" s="8" t="s">
        <v>242</v>
      </c>
    </row>
    <row r="148" spans="1:1" x14ac:dyDescent="0.2">
      <c r="A148" s="8" t="s">
        <v>243</v>
      </c>
    </row>
    <row r="149" spans="1:1" x14ac:dyDescent="0.2">
      <c r="A149" s="8" t="s">
        <v>244</v>
      </c>
    </row>
    <row r="150" spans="1:1" x14ac:dyDescent="0.2">
      <c r="A150" s="8" t="s">
        <v>245</v>
      </c>
    </row>
  </sheetData>
  <phoneticPr fontId="0" type="noConversion"/>
  <hyperlinks>
    <hyperlink ref="E1" r:id="rId1" xr:uid="{00000000-0004-0000-0100-000000000000}"/>
    <hyperlink ref="F4" r:id="rId2" xr:uid="{00000000-0004-0000-0100-000001000000}"/>
  </hyperlinks>
  <pageMargins left="0.75" right="0.75" top="1" bottom="1" header="0.5" footer="0.5"/>
  <pageSetup paperSize="9"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42DEA-F72E-477F-849F-9D53ED2296B1}">
  <dimension ref="A1:U132"/>
  <sheetViews>
    <sheetView tabSelected="1" topLeftCell="A82" zoomScaleNormal="100" workbookViewId="0">
      <selection activeCell="N121" sqref="N121"/>
    </sheetView>
  </sheetViews>
  <sheetFormatPr defaultRowHeight="12.75" x14ac:dyDescent="0.2"/>
  <cols>
    <col min="1" max="1" width="14.7109375" customWidth="1"/>
    <col min="2" max="2" width="21.140625" customWidth="1"/>
    <col min="6" max="6" width="9.85546875" bestFit="1" customWidth="1"/>
    <col min="9" max="9" width="13.140625" bestFit="1" customWidth="1"/>
    <col min="10" max="10" width="9.7109375" bestFit="1" customWidth="1"/>
    <col min="11" max="11" width="11.42578125" bestFit="1" customWidth="1"/>
    <col min="12" max="12" width="14" bestFit="1" customWidth="1"/>
    <col min="13" max="13" width="12" bestFit="1" customWidth="1"/>
    <col min="14" max="14" width="12.42578125" bestFit="1" customWidth="1"/>
    <col min="15" max="15" width="28.28515625" bestFit="1" customWidth="1"/>
    <col min="16" max="16" width="18.140625" bestFit="1" customWidth="1"/>
    <col min="19" max="19" width="28.28515625" bestFit="1" customWidth="1"/>
    <col min="20" max="20" width="9.140625" customWidth="1"/>
  </cols>
  <sheetData>
    <row r="1" spans="1:15" ht="18" x14ac:dyDescent="0.25">
      <c r="A1" s="74" t="s">
        <v>285</v>
      </c>
    </row>
    <row r="3" spans="1:15" ht="15" x14ac:dyDescent="0.25">
      <c r="A3" s="65" t="s">
        <v>291</v>
      </c>
      <c r="B3" s="66"/>
      <c r="C3" s="66"/>
      <c r="D3" s="66"/>
      <c r="E3" s="67"/>
    </row>
    <row r="4" spans="1:15" ht="15" x14ac:dyDescent="0.25">
      <c r="A4" s="68" t="s">
        <v>287</v>
      </c>
      <c r="B4" s="69" t="s">
        <v>288</v>
      </c>
      <c r="C4" s="69"/>
      <c r="D4" s="69"/>
      <c r="E4" s="70"/>
    </row>
    <row r="5" spans="1:15" ht="15" x14ac:dyDescent="0.25">
      <c r="A5" s="71" t="s">
        <v>289</v>
      </c>
      <c r="B5" s="72" t="s">
        <v>290</v>
      </c>
      <c r="C5" s="72"/>
      <c r="D5" s="72"/>
      <c r="E5" s="73"/>
    </row>
    <row r="7" spans="1:15" ht="15" x14ac:dyDescent="0.25">
      <c r="A7" s="75" t="s">
        <v>286</v>
      </c>
      <c r="B7" s="57"/>
      <c r="C7" s="57"/>
      <c r="D7" s="58"/>
      <c r="M7" s="56" t="s">
        <v>374</v>
      </c>
      <c r="N7" s="56"/>
      <c r="O7" s="56"/>
    </row>
    <row r="8" spans="1:15" ht="15" x14ac:dyDescent="0.25">
      <c r="A8" s="59" t="s">
        <v>345</v>
      </c>
      <c r="B8" s="60">
        <v>3</v>
      </c>
      <c r="C8" s="60" t="s">
        <v>246</v>
      </c>
      <c r="D8" s="61"/>
      <c r="M8" s="56" t="s">
        <v>375</v>
      </c>
      <c r="N8" s="56"/>
      <c r="O8" s="56"/>
    </row>
    <row r="9" spans="1:15" ht="15" x14ac:dyDescent="0.25">
      <c r="A9" s="62" t="s">
        <v>346</v>
      </c>
      <c r="B9" s="63">
        <v>7</v>
      </c>
      <c r="C9" s="63" t="s">
        <v>246</v>
      </c>
      <c r="D9" s="64"/>
    </row>
    <row r="11" spans="1:15" x14ac:dyDescent="0.2">
      <c r="B11" s="1" t="s">
        <v>247</v>
      </c>
      <c r="C11" s="1"/>
    </row>
    <row r="12" spans="1:15" x14ac:dyDescent="0.2">
      <c r="A12" s="2" t="s">
        <v>248</v>
      </c>
      <c r="B12" s="35" t="s">
        <v>254</v>
      </c>
      <c r="C12" s="35">
        <v>60</v>
      </c>
      <c r="D12" s="35" t="s">
        <v>44</v>
      </c>
    </row>
    <row r="13" spans="1:15" x14ac:dyDescent="0.2">
      <c r="A13" s="2" t="s">
        <v>249</v>
      </c>
      <c r="B13" s="35" t="s">
        <v>255</v>
      </c>
      <c r="C13" s="35">
        <v>450</v>
      </c>
      <c r="D13" s="35" t="s">
        <v>10</v>
      </c>
    </row>
    <row r="14" spans="1:15" x14ac:dyDescent="0.2">
      <c r="B14" s="35" t="s">
        <v>274</v>
      </c>
      <c r="C14" s="35">
        <f>C13</f>
        <v>450</v>
      </c>
      <c r="D14" s="35" t="s">
        <v>10</v>
      </c>
    </row>
    <row r="16" spans="1:15" x14ac:dyDescent="0.2">
      <c r="B16" s="1" t="s">
        <v>273</v>
      </c>
      <c r="C16" s="2"/>
      <c r="D16" s="35"/>
    </row>
    <row r="17" spans="1:18" x14ac:dyDescent="0.2">
      <c r="B17" s="35" t="s">
        <v>257</v>
      </c>
      <c r="C17" s="35">
        <v>60</v>
      </c>
      <c r="D17" s="35" t="s">
        <v>44</v>
      </c>
      <c r="E17" s="35"/>
    </row>
    <row r="18" spans="1:18" x14ac:dyDescent="0.2">
      <c r="A18" s="2" t="s">
        <v>250</v>
      </c>
      <c r="B18" s="35" t="s">
        <v>258</v>
      </c>
      <c r="C18" s="35">
        <v>8</v>
      </c>
      <c r="D18" s="35" t="s">
        <v>44</v>
      </c>
      <c r="E18" s="35"/>
    </row>
    <row r="19" spans="1:18" x14ac:dyDescent="0.2">
      <c r="A19" s="2" t="s">
        <v>251</v>
      </c>
      <c r="B19" s="35" t="s">
        <v>259</v>
      </c>
      <c r="C19" s="35">
        <v>8</v>
      </c>
      <c r="D19" s="35" t="s">
        <v>44</v>
      </c>
      <c r="E19" s="34"/>
    </row>
    <row r="20" spans="1:18" x14ac:dyDescent="0.2">
      <c r="B20" s="35" t="s">
        <v>260</v>
      </c>
      <c r="C20" s="35">
        <v>1.5</v>
      </c>
      <c r="D20" s="35" t="s">
        <v>44</v>
      </c>
      <c r="E20" s="35"/>
    </row>
    <row r="21" spans="1:18" x14ac:dyDescent="0.2">
      <c r="B21" s="2"/>
      <c r="C21" s="2"/>
      <c r="D21" s="34"/>
      <c r="E21" s="34"/>
      <c r="J21" s="27"/>
      <c r="K21" s="27"/>
      <c r="L21" s="27"/>
      <c r="M21" s="27"/>
      <c r="N21" s="27"/>
      <c r="O21" s="27"/>
    </row>
    <row r="22" spans="1:18" x14ac:dyDescent="0.2">
      <c r="B22" s="1" t="s">
        <v>292</v>
      </c>
      <c r="C22" s="2"/>
      <c r="D22" s="34"/>
      <c r="E22" s="34"/>
    </row>
    <row r="23" spans="1:18" x14ac:dyDescent="0.2">
      <c r="B23" s="35" t="s">
        <v>252</v>
      </c>
      <c r="C23" s="35">
        <v>0.82</v>
      </c>
      <c r="D23" s="34"/>
      <c r="E23" s="36"/>
      <c r="H23" s="41"/>
      <c r="I23" s="42" t="s">
        <v>326</v>
      </c>
      <c r="J23" s="42" t="s">
        <v>327</v>
      </c>
      <c r="K23" s="42" t="s">
        <v>328</v>
      </c>
      <c r="L23" s="42" t="s">
        <v>329</v>
      </c>
      <c r="M23" s="42" t="s">
        <v>330</v>
      </c>
      <c r="N23" s="42" t="s">
        <v>331</v>
      </c>
      <c r="O23" s="42"/>
      <c r="P23" s="42" t="s">
        <v>332</v>
      </c>
    </row>
    <row r="24" spans="1:18" x14ac:dyDescent="0.2">
      <c r="B24" s="35" t="s">
        <v>253</v>
      </c>
      <c r="C24" s="35">
        <v>0.8</v>
      </c>
      <c r="D24" s="34"/>
      <c r="E24" s="34"/>
      <c r="H24" s="41"/>
      <c r="I24" s="42" t="s">
        <v>318</v>
      </c>
      <c r="J24" s="42" t="s">
        <v>319</v>
      </c>
      <c r="K24" s="42" t="s">
        <v>320</v>
      </c>
      <c r="L24" s="42" t="s">
        <v>321</v>
      </c>
      <c r="M24" s="42" t="s">
        <v>322</v>
      </c>
      <c r="N24" s="42" t="s">
        <v>323</v>
      </c>
      <c r="O24" s="42" t="s">
        <v>324</v>
      </c>
      <c r="P24" s="42" t="s">
        <v>325</v>
      </c>
    </row>
    <row r="25" spans="1:18" ht="15" x14ac:dyDescent="0.25">
      <c r="C25" s="2"/>
      <c r="D25" s="34"/>
      <c r="E25" s="35"/>
      <c r="H25" s="43">
        <v>1</v>
      </c>
      <c r="I25" s="37">
        <f>J25/J25</f>
        <v>1</v>
      </c>
      <c r="J25" s="40">
        <v>12.541375</v>
      </c>
      <c r="K25" s="37">
        <f>C12</f>
        <v>60</v>
      </c>
      <c r="L25" s="37">
        <f>C13</f>
        <v>450</v>
      </c>
      <c r="M25" s="37" cm="1">
        <f t="array" ref="M25">h_pt(K25,L25)</f>
        <v>3302.7635382488588</v>
      </c>
      <c r="N25" s="37">
        <f>s_pT(K25,L25)</f>
        <v>6.7216337901680756</v>
      </c>
      <c r="O25" s="37" cm="1">
        <f t="array" ref="O25">x_ph(K25,M25)</f>
        <v>1</v>
      </c>
      <c r="P25" s="37" cm="1">
        <f t="array" ref="P25">v_pT(K25,L25)</f>
        <v>5.2168322781181144E-2</v>
      </c>
    </row>
    <row r="26" spans="1:18" ht="15" x14ac:dyDescent="0.25">
      <c r="B26" s="1" t="s">
        <v>275</v>
      </c>
      <c r="C26" s="2"/>
      <c r="D26" s="34"/>
      <c r="E26" s="35"/>
      <c r="H26" s="43">
        <v>2</v>
      </c>
      <c r="I26" s="37">
        <f>J26/$J$25</f>
        <v>1</v>
      </c>
      <c r="J26" s="37">
        <f>J25</f>
        <v>12.541375</v>
      </c>
      <c r="K26" s="37">
        <f>C17</f>
        <v>60</v>
      </c>
      <c r="L26" s="37">
        <f>C14</f>
        <v>450</v>
      </c>
      <c r="M26" s="37">
        <f>M25</f>
        <v>3302.7635382488588</v>
      </c>
      <c r="N26" s="37" cm="1">
        <f t="array" ref="N26">s_ph(K26,M26)</f>
        <v>6.7216434705028121</v>
      </c>
      <c r="O26" s="37" cm="1">
        <f t="array" ref="O26">x_ph(K26,M26)</f>
        <v>1</v>
      </c>
      <c r="P26" s="37" cm="1">
        <f t="array" ref="P26">v_pT(K26,L26)</f>
        <v>5.2168322781181144E-2</v>
      </c>
      <c r="Q26" s="1" t="s">
        <v>270</v>
      </c>
    </row>
    <row r="27" spans="1:18" ht="15" x14ac:dyDescent="0.25">
      <c r="B27" s="35" t="s">
        <v>271</v>
      </c>
      <c r="C27" s="35">
        <v>0.97</v>
      </c>
      <c r="D27" s="34"/>
      <c r="E27" s="35"/>
      <c r="H27" s="43" t="s">
        <v>264</v>
      </c>
      <c r="I27" s="37">
        <f>J27/$J$25</f>
        <v>0.23920822078918777</v>
      </c>
      <c r="J27" s="37">
        <f>J28</f>
        <v>3</v>
      </c>
      <c r="K27" s="37">
        <f>C18</f>
        <v>8</v>
      </c>
      <c r="L27" s="37" cm="1">
        <f t="array" ref="L27">T_ps(K27,N27)</f>
        <v>181.16620622344288</v>
      </c>
      <c r="M27" s="37" cm="1">
        <f t="array" ref="M27">h_ps(K27,N27)</f>
        <v>2795.2857250279249</v>
      </c>
      <c r="N27" s="37">
        <f>N26</f>
        <v>6.7216434705028121</v>
      </c>
      <c r="O27" s="37" cm="1">
        <f t="array" ref="O27">x_ps(K27,N27)</f>
        <v>1</v>
      </c>
      <c r="P27" s="37" cm="1">
        <f t="array" ref="P27">v_ps(K27,N27)</f>
        <v>0.24800039675501195</v>
      </c>
    </row>
    <row r="28" spans="1:18" ht="15" x14ac:dyDescent="0.25">
      <c r="B28" s="35" t="s">
        <v>272</v>
      </c>
      <c r="C28" s="35">
        <f>C27</f>
        <v>0.97</v>
      </c>
      <c r="D28" s="34"/>
      <c r="E28" s="35"/>
      <c r="H28" s="43">
        <v>3</v>
      </c>
      <c r="I28" s="37">
        <f>J28/J25</f>
        <v>0.23920822078918777</v>
      </c>
      <c r="J28" s="37">
        <f>B8</f>
        <v>3</v>
      </c>
      <c r="K28" s="37">
        <f>K27</f>
        <v>8</v>
      </c>
      <c r="L28" s="37" cm="1">
        <f t="array" ref="L28">T_ph(K28,M28)</f>
        <v>220.74497257413032</v>
      </c>
      <c r="M28" s="37">
        <f>M26-C23*(M26-M27)</f>
        <v>2886.6317314076932</v>
      </c>
      <c r="N28" s="37" cm="1">
        <f t="array" ref="N28">s_ph(K28,M28)</f>
        <v>6.9145532253218462</v>
      </c>
      <c r="O28" s="37" cm="1">
        <f t="array" ref="O28">x_ph(K28,M28)</f>
        <v>1</v>
      </c>
      <c r="P28" s="37" cm="1">
        <f t="array" ref="P28">v_ph(K28,M28)</f>
        <v>0.2745266274078289</v>
      </c>
    </row>
    <row r="29" spans="1:18" ht="15" x14ac:dyDescent="0.25">
      <c r="B29" s="35" t="s">
        <v>276</v>
      </c>
      <c r="C29" s="35">
        <v>0.75</v>
      </c>
      <c r="D29" s="34"/>
      <c r="E29" s="34"/>
      <c r="H29" s="43" t="s">
        <v>265</v>
      </c>
      <c r="I29" s="37">
        <f>J29/$J$25</f>
        <v>0.20263926403604074</v>
      </c>
      <c r="J29" s="37">
        <f>J30</f>
        <v>2.5413750000000004</v>
      </c>
      <c r="K29" s="37">
        <f>C19</f>
        <v>8</v>
      </c>
      <c r="L29" s="37" cm="1">
        <f t="array" ref="L29">T_ps(K29,N29)</f>
        <v>181.16620622344288</v>
      </c>
      <c r="M29" s="37" cm="1">
        <f t="array" ref="M29">h_ps(K29,N29)</f>
        <v>2795.2857250279249</v>
      </c>
      <c r="N29" s="37">
        <f>N26</f>
        <v>6.7216434705028121</v>
      </c>
      <c r="O29" s="37" cm="1">
        <f t="array" ref="O29">x_ps(K29,N29)</f>
        <v>1</v>
      </c>
      <c r="P29" s="37" cm="1">
        <f t="array" ref="P29">v_ps(K29,N29)</f>
        <v>0.24800039675501195</v>
      </c>
      <c r="R29" s="2" t="s">
        <v>302</v>
      </c>
    </row>
    <row r="30" spans="1:18" ht="15" x14ac:dyDescent="0.25">
      <c r="C30" s="1"/>
      <c r="D30" s="34"/>
      <c r="E30" s="34"/>
      <c r="H30" s="43">
        <v>4</v>
      </c>
      <c r="I30" s="37">
        <f>J30/J25</f>
        <v>0.20263926403604074</v>
      </c>
      <c r="J30" s="37">
        <f>U39</f>
        <v>2.5413750000000004</v>
      </c>
      <c r="K30" s="37">
        <f>K29</f>
        <v>8</v>
      </c>
      <c r="L30" s="37" cm="1">
        <f t="array" ref="L30">T_ph(K30,M30)</f>
        <v>220.74497257413032</v>
      </c>
      <c r="M30" s="37">
        <f>M26-C23*(M26-M29)</f>
        <v>2886.6317314076932</v>
      </c>
      <c r="N30" s="37" cm="1">
        <f t="array" ref="N30">s_ph(K30,M30)</f>
        <v>6.9145532253218462</v>
      </c>
      <c r="O30" s="37" cm="1">
        <f t="array" ref="O30">x_ph(K30,M30)</f>
        <v>1</v>
      </c>
      <c r="P30" s="37" cm="1">
        <f t="array" ref="P30">v_ph(K30,M30)</f>
        <v>0.2745266274078289</v>
      </c>
    </row>
    <row r="31" spans="1:18" ht="15" x14ac:dyDescent="0.25">
      <c r="B31" s="1" t="s">
        <v>299</v>
      </c>
      <c r="C31" s="2"/>
      <c r="D31" s="34"/>
      <c r="E31" s="34"/>
      <c r="H31" s="43" t="s">
        <v>266</v>
      </c>
      <c r="I31" s="37">
        <f>J31/$J$25</f>
        <v>0.55815251517477149</v>
      </c>
      <c r="J31" s="37">
        <f>J32</f>
        <v>7</v>
      </c>
      <c r="K31" s="37">
        <f>C20</f>
        <v>1.5</v>
      </c>
      <c r="L31" s="37" cm="1">
        <f t="array" ref="L31">T_ps(K31,N31)</f>
        <v>111.35004948446078</v>
      </c>
      <c r="M31" s="37">
        <f>h_ps(K31,N31)</f>
        <v>2574.5373165732062</v>
      </c>
      <c r="N31" s="37">
        <f>N30</f>
        <v>6.9145532253218462</v>
      </c>
      <c r="O31" s="37" cm="1">
        <f t="array" ref="O31">x_ps(K31,N31)</f>
        <v>0.94673215818333334</v>
      </c>
      <c r="P31" s="37" cm="1">
        <f t="array" ref="P31">v_ps(K31,N31)</f>
        <v>1.0976570517764346</v>
      </c>
    </row>
    <row r="32" spans="1:18" ht="15" x14ac:dyDescent="0.25">
      <c r="A32" s="2" t="s">
        <v>289</v>
      </c>
      <c r="B32" s="35" t="s">
        <v>256</v>
      </c>
      <c r="C32" s="35">
        <v>1</v>
      </c>
      <c r="D32" s="35" t="s">
        <v>44</v>
      </c>
      <c r="E32" s="35"/>
      <c r="H32" s="43">
        <v>5</v>
      </c>
      <c r="I32" s="37">
        <f>J32/J25</f>
        <v>0.55815251517477149</v>
      </c>
      <c r="J32" s="37">
        <f>B9</f>
        <v>7</v>
      </c>
      <c r="K32" s="37">
        <f>K31</f>
        <v>1.5</v>
      </c>
      <c r="L32" s="37" cm="1">
        <f t="array" ref="L32">T_ph(K32,M32)</f>
        <v>111.35004948446078</v>
      </c>
      <c r="M32" s="37">
        <f>M30-C24*(M30-M31)</f>
        <v>2636.9561995401036</v>
      </c>
      <c r="N32" s="37" cm="1">
        <f t="array" ref="N32">s_ph(K32,M32)</f>
        <v>7.0768902709170884</v>
      </c>
      <c r="O32" s="37" cm="1">
        <f t="array" ref="O32">x_ph(K32,M32)</f>
        <v>0.97477257618357727</v>
      </c>
      <c r="P32" s="37" cm="1">
        <f t="array" ref="P32">v_ph(K32,M32)</f>
        <v>1.1301364002919507</v>
      </c>
    </row>
    <row r="33" spans="1:21" ht="15" x14ac:dyDescent="0.25">
      <c r="B33" s="35" t="s">
        <v>277</v>
      </c>
      <c r="C33" s="35">
        <v>65</v>
      </c>
      <c r="D33" s="35" t="s">
        <v>10</v>
      </c>
      <c r="E33" s="35"/>
      <c r="H33" s="43">
        <v>6</v>
      </c>
      <c r="I33" s="38">
        <f>I32</f>
        <v>0.55815251517477149</v>
      </c>
      <c r="J33" s="38">
        <f>J32</f>
        <v>7</v>
      </c>
      <c r="K33" s="38">
        <f>C32</f>
        <v>1</v>
      </c>
      <c r="L33" s="38">
        <f>C33</f>
        <v>65</v>
      </c>
      <c r="M33" s="38" cm="1">
        <f t="array" ref="M33">h_pt(K33,L33)</f>
        <v>272.1412458722167</v>
      </c>
      <c r="N33" s="38" cm="1">
        <f t="array" ref="N33">s_pT(K33,L33)</f>
        <v>0.89350046332722743</v>
      </c>
      <c r="O33" s="38" cm="1">
        <f t="array" ref="O33">x_ph(K33,M33)</f>
        <v>0</v>
      </c>
      <c r="P33" s="38" cm="1">
        <f t="array" ref="P33">v_pT(K33,L33)</f>
        <v>1.0198199247676198E-3</v>
      </c>
      <c r="Q33" s="1" t="s">
        <v>303</v>
      </c>
    </row>
    <row r="34" spans="1:21" ht="15" x14ac:dyDescent="0.25">
      <c r="A34" s="2" t="s">
        <v>287</v>
      </c>
      <c r="B34" s="35" t="s">
        <v>278</v>
      </c>
      <c r="C34" s="35">
        <v>1</v>
      </c>
      <c r="D34" s="35" t="s">
        <v>44</v>
      </c>
      <c r="E34" s="34"/>
      <c r="H34" s="43">
        <v>7</v>
      </c>
      <c r="I34" s="38">
        <f>I28</f>
        <v>0.23920822078918777</v>
      </c>
      <c r="J34" s="38">
        <f>J28</f>
        <v>3</v>
      </c>
      <c r="K34" s="38">
        <f>C34</f>
        <v>1</v>
      </c>
      <c r="L34" s="38">
        <f>C35</f>
        <v>30</v>
      </c>
      <c r="M34" s="38" cm="1">
        <f t="array" ref="M34">h_pt(K34,L34)</f>
        <v>125.83250624202114</v>
      </c>
      <c r="N34" s="38" cm="1">
        <f t="array" ref="N34">s_pT(K34,L34)</f>
        <v>0.43676381552958099</v>
      </c>
      <c r="O34" s="38" cm="1">
        <f t="array" ref="O34">x_ph(K34,M34)</f>
        <v>0</v>
      </c>
      <c r="P34" s="38" cm="1">
        <f t="array" ref="P34">v_pT(K34,L34)</f>
        <v>1.0043675272765405E-3</v>
      </c>
    </row>
    <row r="35" spans="1:21" ht="15" x14ac:dyDescent="0.25">
      <c r="B35" s="35" t="s">
        <v>279</v>
      </c>
      <c r="C35" s="35">
        <v>30</v>
      </c>
      <c r="D35" s="35" t="s">
        <v>10</v>
      </c>
      <c r="E35" s="35"/>
      <c r="H35" s="43" t="s">
        <v>268</v>
      </c>
      <c r="I35" s="38">
        <f>J35/$J$25</f>
        <v>0.55815251517477149</v>
      </c>
      <c r="J35" s="38">
        <f>J33</f>
        <v>7</v>
      </c>
      <c r="K35" s="38">
        <f>C19</f>
        <v>8</v>
      </c>
      <c r="L35" s="38" cm="1">
        <f t="array" ref="L35">T_ps(K35,N35)</f>
        <v>65.029562518005662</v>
      </c>
      <c r="M35" s="38" cm="1">
        <f t="array" ref="M35">h_ps(K35,N35)</f>
        <v>272.8450059621025</v>
      </c>
      <c r="N35" s="38">
        <f>N33</f>
        <v>0.89350046332722743</v>
      </c>
      <c r="O35" s="38" cm="1">
        <f t="array" ref="O35">x_ps(K35,N35)</f>
        <v>0</v>
      </c>
      <c r="P35" s="38" cm="1">
        <f t="array" ref="P35">v_ps(K35,N35)</f>
        <v>1.0195183157435371E-3</v>
      </c>
    </row>
    <row r="36" spans="1:21" ht="15" x14ac:dyDescent="0.25">
      <c r="C36" s="2"/>
      <c r="D36" s="34"/>
      <c r="E36" s="35"/>
      <c r="H36" s="43">
        <v>8</v>
      </c>
      <c r="I36" s="38">
        <f t="shared" ref="I36:I41" si="0">J36/$J$25</f>
        <v>0.55815251517477149</v>
      </c>
      <c r="J36" s="38">
        <f>J35</f>
        <v>7</v>
      </c>
      <c r="K36" s="38">
        <f>K35</f>
        <v>8</v>
      </c>
      <c r="L36" s="38" cm="1">
        <f t="array" ref="L36">T_ph(K36,M36)</f>
        <v>65.087137045670602</v>
      </c>
      <c r="M36" s="38">
        <f>M33+(M35-M33)/C29</f>
        <v>273.07959265873109</v>
      </c>
      <c r="N36" s="38" cm="1">
        <f t="array" ref="N36">s_ph(K36,M36)</f>
        <v>0.89418306836614525</v>
      </c>
      <c r="O36" s="38" cm="1">
        <f t="array" ref="O36">x_ph(K36,M36)</f>
        <v>0</v>
      </c>
      <c r="P36" s="38" cm="1">
        <f t="array" ref="P36">v_ph(K36,M36)</f>
        <v>1.0195508344316749E-3</v>
      </c>
    </row>
    <row r="37" spans="1:21" ht="15" x14ac:dyDescent="0.25">
      <c r="B37" s="1" t="s">
        <v>300</v>
      </c>
      <c r="C37" s="2"/>
      <c r="D37" s="34"/>
      <c r="E37" s="34"/>
      <c r="H37" s="43" t="s">
        <v>284</v>
      </c>
      <c r="I37" s="38">
        <f t="shared" si="0"/>
        <v>0.23920822078918777</v>
      </c>
      <c r="J37" s="38">
        <f>J34</f>
        <v>3</v>
      </c>
      <c r="K37" s="38">
        <f>C19</f>
        <v>8</v>
      </c>
      <c r="L37" s="38" cm="1">
        <f t="array" ref="L37">T_ps(K37,N37)</f>
        <v>30.013275326247765</v>
      </c>
      <c r="M37" s="38" cm="1">
        <f t="array" ref="M37">h_ps(K37,N37)</f>
        <v>126.52631426328165</v>
      </c>
      <c r="N37" s="38">
        <f>N34</f>
        <v>0.43676381552958099</v>
      </c>
      <c r="O37" s="38" cm="1">
        <f t="array" ref="O37">x_ps(K37,N37)</f>
        <v>0</v>
      </c>
      <c r="P37" s="38" cm="1">
        <f t="array" ref="P37">v_ps(K37,N37)</f>
        <v>1.0040579011056114E-3</v>
      </c>
      <c r="S37" s="45" t="s">
        <v>307</v>
      </c>
      <c r="T37" s="46"/>
      <c r="U37" s="47"/>
    </row>
    <row r="38" spans="1:21" ht="15" x14ac:dyDescent="0.25">
      <c r="B38" s="35" t="s">
        <v>261</v>
      </c>
      <c r="C38" s="35">
        <v>20</v>
      </c>
      <c r="D38" s="35" t="s">
        <v>267</v>
      </c>
      <c r="E38" s="34"/>
      <c r="F38" s="34"/>
      <c r="H38" s="43">
        <v>9</v>
      </c>
      <c r="I38" s="38">
        <f t="shared" si="0"/>
        <v>0.23920822078918777</v>
      </c>
      <c r="J38" s="38">
        <f>J34</f>
        <v>3</v>
      </c>
      <c r="K38" s="38">
        <f>K37</f>
        <v>8</v>
      </c>
      <c r="L38" s="38" cm="1">
        <f t="array" ref="L38">T_ph(K38,M38)</f>
        <v>30.088751376079529</v>
      </c>
      <c r="M38" s="38">
        <f>M34+(M37-M34)/C29</f>
        <v>126.75758360370182</v>
      </c>
      <c r="N38" s="38" cm="1">
        <f t="array" ref="N38">s_ph(K38,M38)</f>
        <v>0.43777372468908199</v>
      </c>
      <c r="O38" s="38" cm="1">
        <f t="array" ref="O38">x_ph(K38,M38)</f>
        <v>0</v>
      </c>
      <c r="P38" s="38" cm="1">
        <f t="array" ref="P38">v_ph(K38,M38)</f>
        <v>1.0040809325180216E-3</v>
      </c>
      <c r="S38" s="48" t="s">
        <v>308</v>
      </c>
      <c r="T38" s="44"/>
      <c r="U38" s="49">
        <f>J25</f>
        <v>12.541375</v>
      </c>
    </row>
    <row r="39" spans="1:21" ht="15" x14ac:dyDescent="0.25">
      <c r="B39" s="35"/>
      <c r="C39" s="27" t="s">
        <v>294</v>
      </c>
      <c r="D39" s="34"/>
      <c r="E39" s="27" t="s">
        <v>293</v>
      </c>
      <c r="F39" s="34"/>
      <c r="H39" s="43">
        <v>10</v>
      </c>
      <c r="I39" s="38">
        <f t="shared" si="0"/>
        <v>1</v>
      </c>
      <c r="J39" s="39">
        <f>J25</f>
        <v>12.541375</v>
      </c>
      <c r="K39" s="39">
        <f>K38</f>
        <v>8</v>
      </c>
      <c r="L39" s="39" cm="1">
        <f t="array" ref="L39">Tsat_p(K39)</f>
        <v>170.41351081360017</v>
      </c>
      <c r="M39" s="39" cm="1">
        <f t="array" ref="M39">hL_p(K39)</f>
        <v>721.01784841975336</v>
      </c>
      <c r="N39" s="39" cm="1">
        <f t="array" ref="N39">s_ph(K39,M39)</f>
        <v>2.0462109702496694</v>
      </c>
      <c r="O39" s="39" cm="1">
        <f t="array" ref="O39">x_ph(K39,M39)</f>
        <v>0</v>
      </c>
      <c r="P39" s="39" cm="1">
        <f t="array" ref="P39">v_ph(K39,M39)</f>
        <v>1.1148168424989231E-3</v>
      </c>
      <c r="Q39" s="1" t="s">
        <v>304</v>
      </c>
      <c r="S39" s="48" t="s">
        <v>309</v>
      </c>
      <c r="T39" s="44"/>
      <c r="U39" s="49">
        <f>J25-J28-J32</f>
        <v>2.5413750000000004</v>
      </c>
    </row>
    <row r="40" spans="1:21" ht="15" x14ac:dyDescent="0.25">
      <c r="B40" s="35" t="s">
        <v>295</v>
      </c>
      <c r="C40" s="35">
        <v>0.5</v>
      </c>
      <c r="D40" s="34"/>
      <c r="E40" s="34">
        <v>12</v>
      </c>
      <c r="F40" s="35" t="s">
        <v>301</v>
      </c>
      <c r="H40" s="43" t="s">
        <v>269</v>
      </c>
      <c r="I40" s="38">
        <f t="shared" si="0"/>
        <v>1</v>
      </c>
      <c r="J40" s="38">
        <f>J39</f>
        <v>12.541375</v>
      </c>
      <c r="K40" s="38">
        <f>K25</f>
        <v>60</v>
      </c>
      <c r="L40" s="38" cm="1">
        <f t="array" ref="L40">T_ps(K40,N40)</f>
        <v>171.11065361401336</v>
      </c>
      <c r="M40" s="38" cm="1">
        <f t="array" ref="M40">h_ps(K40,N40)</f>
        <v>726.90539976597358</v>
      </c>
      <c r="N40" s="38">
        <f>N39</f>
        <v>2.0462109702496694</v>
      </c>
      <c r="O40" s="38" cm="1">
        <f t="array" ref="O40">x_ps(K40,N40)</f>
        <v>0</v>
      </c>
      <c r="P40" s="38" cm="1">
        <f t="array" ref="P40">v_ps(K40,N40)</f>
        <v>1.1116398525558081E-3</v>
      </c>
      <c r="Q40" s="1" t="s">
        <v>313</v>
      </c>
      <c r="S40" s="48" t="s">
        <v>310</v>
      </c>
      <c r="T40" s="44"/>
      <c r="U40" s="49">
        <f>(J25*M39-J28*M36-J32*M38)/M30</f>
        <v>2.541374874981265</v>
      </c>
    </row>
    <row r="41" spans="1:21" ht="15" x14ac:dyDescent="0.25">
      <c r="B41" s="35" t="s">
        <v>296</v>
      </c>
      <c r="C41" s="35">
        <v>0.06</v>
      </c>
      <c r="D41" s="34"/>
      <c r="E41" s="34">
        <v>2</v>
      </c>
      <c r="F41" s="35" t="s">
        <v>301</v>
      </c>
      <c r="H41" s="43">
        <v>11</v>
      </c>
      <c r="I41" s="38">
        <f t="shared" si="0"/>
        <v>1</v>
      </c>
      <c r="J41" s="38">
        <f>J40</f>
        <v>12.541375</v>
      </c>
      <c r="K41" s="38">
        <f>K25</f>
        <v>60</v>
      </c>
      <c r="L41" s="38" cm="1">
        <f t="array" ref="L41">T_ph(K41,M41)</f>
        <v>171.58130814889955</v>
      </c>
      <c r="M41" s="38">
        <f>M39+(M40-M39)/C29</f>
        <v>728.86791688138032</v>
      </c>
      <c r="N41" s="38" cm="1">
        <f t="array" ref="N41">s_ph(K41,M41)</f>
        <v>2.0508216609403682</v>
      </c>
      <c r="O41" s="38" cm="1">
        <f t="array" ref="O41">x_ph(K41,M41)</f>
        <v>0</v>
      </c>
      <c r="P41" s="38" cm="1">
        <f t="array" ref="P41">v_ph(K41,M41)</f>
        <v>1.1122345903189193E-3</v>
      </c>
      <c r="S41" s="50" t="s">
        <v>311</v>
      </c>
      <c r="T41" s="51"/>
      <c r="U41" s="52">
        <f>U39-U40</f>
        <v>1.250187353640797E-7</v>
      </c>
    </row>
    <row r="42" spans="1:21" x14ac:dyDescent="0.2">
      <c r="B42" s="35" t="s">
        <v>297</v>
      </c>
      <c r="C42" s="35">
        <v>0.35</v>
      </c>
      <c r="D42" s="34"/>
      <c r="E42" s="34">
        <v>32</v>
      </c>
      <c r="F42" s="35" t="s">
        <v>301</v>
      </c>
    </row>
    <row r="43" spans="1:21" x14ac:dyDescent="0.2">
      <c r="B43" s="35" t="s">
        <v>298</v>
      </c>
      <c r="C43" s="35">
        <v>0.09</v>
      </c>
      <c r="D43" s="34"/>
      <c r="E43" s="34">
        <v>18</v>
      </c>
      <c r="F43" s="35" t="s">
        <v>301</v>
      </c>
    </row>
    <row r="44" spans="1:21" x14ac:dyDescent="0.2">
      <c r="E44" s="34"/>
      <c r="H44" s="77" t="s">
        <v>312</v>
      </c>
      <c r="I44" s="78"/>
      <c r="J44" s="78"/>
      <c r="K44" s="78"/>
    </row>
    <row r="45" spans="1:21" ht="15" x14ac:dyDescent="0.25">
      <c r="B45" s="1" t="s">
        <v>262</v>
      </c>
      <c r="C45" s="1"/>
      <c r="D45" s="34"/>
      <c r="E45" s="34"/>
      <c r="H45" s="53" t="s">
        <v>305</v>
      </c>
      <c r="I45" s="53"/>
      <c r="J45" s="53"/>
      <c r="K45" s="53"/>
      <c r="L45" s="53"/>
      <c r="M45" s="53" t="s">
        <v>347</v>
      </c>
      <c r="N45" s="53">
        <f>I33*(M36-M33)</f>
        <v>0.52374061899916946</v>
      </c>
      <c r="O45" s="53" t="s">
        <v>317</v>
      </c>
    </row>
    <row r="46" spans="1:21" ht="15" x14ac:dyDescent="0.25">
      <c r="B46" s="35" t="s">
        <v>280</v>
      </c>
      <c r="C46" s="76">
        <v>0.3</v>
      </c>
      <c r="D46" s="34"/>
      <c r="E46" s="35"/>
      <c r="H46" s="53" t="s">
        <v>306</v>
      </c>
      <c r="I46" s="53"/>
      <c r="J46" s="53"/>
      <c r="K46" s="53"/>
      <c r="L46" s="53"/>
      <c r="M46" s="53" t="s">
        <v>348</v>
      </c>
      <c r="N46" s="53">
        <f>I34*(M38-M34)</f>
        <v>0.221286109779991</v>
      </c>
      <c r="O46" s="53" t="s">
        <v>317</v>
      </c>
    </row>
    <row r="47" spans="1:21" ht="15" x14ac:dyDescent="0.25">
      <c r="B47" s="35" t="s">
        <v>263</v>
      </c>
      <c r="C47" s="34">
        <v>0.9</v>
      </c>
      <c r="H47" s="53" t="s">
        <v>333</v>
      </c>
      <c r="I47" s="53"/>
      <c r="J47" s="53"/>
      <c r="K47" s="53"/>
      <c r="L47" s="53"/>
      <c r="M47" s="53" t="s">
        <v>349</v>
      </c>
      <c r="N47" s="53">
        <f>I39*(M41-M39)</f>
        <v>7.8500684616269609</v>
      </c>
      <c r="O47" s="53" t="s">
        <v>317</v>
      </c>
    </row>
    <row r="48" spans="1:21" ht="15" x14ac:dyDescent="0.25">
      <c r="H48" s="55" t="s">
        <v>335</v>
      </c>
      <c r="I48" s="53"/>
      <c r="J48" s="53"/>
      <c r="K48" s="53"/>
      <c r="L48" s="53"/>
      <c r="M48" s="55" t="s">
        <v>350</v>
      </c>
      <c r="N48" s="53">
        <f>N45+N46+N47</f>
        <v>8.5950951904061217</v>
      </c>
      <c r="O48" s="55" t="s">
        <v>317</v>
      </c>
    </row>
    <row r="49" spans="2:15" ht="15" x14ac:dyDescent="0.25">
      <c r="B49" s="1" t="s">
        <v>281</v>
      </c>
      <c r="H49" s="53" t="s">
        <v>314</v>
      </c>
      <c r="I49" s="53"/>
      <c r="J49" s="53"/>
      <c r="K49" s="53"/>
      <c r="L49" s="53"/>
      <c r="M49" s="53" t="s">
        <v>351</v>
      </c>
      <c r="N49" s="53">
        <f>I26*(M26-M28)</f>
        <v>416.1318068411656</v>
      </c>
      <c r="O49" s="53" t="s">
        <v>317</v>
      </c>
    </row>
    <row r="50" spans="2:15" ht="15" x14ac:dyDescent="0.25">
      <c r="B50" s="35" t="s">
        <v>282</v>
      </c>
      <c r="C50" s="34">
        <v>3</v>
      </c>
      <c r="D50" s="35" t="s">
        <v>246</v>
      </c>
      <c r="H50" s="53" t="s">
        <v>315</v>
      </c>
      <c r="I50" s="53"/>
      <c r="J50" s="53"/>
      <c r="K50" s="53"/>
      <c r="L50" s="53"/>
      <c r="M50" s="53" t="s">
        <v>352</v>
      </c>
      <c r="N50" s="53">
        <f>I32*(M28-M32)</f>
        <v>139.35702608949396</v>
      </c>
      <c r="O50" s="53" t="s">
        <v>317</v>
      </c>
    </row>
    <row r="51" spans="2:15" ht="15" x14ac:dyDescent="0.25">
      <c r="B51" s="35" t="s">
        <v>283</v>
      </c>
      <c r="C51" s="34">
        <v>7</v>
      </c>
      <c r="D51" s="35" t="s">
        <v>246</v>
      </c>
      <c r="H51" s="55" t="s">
        <v>336</v>
      </c>
      <c r="I51" s="53"/>
      <c r="J51" s="53"/>
      <c r="K51" s="53"/>
      <c r="L51" s="53"/>
      <c r="M51" s="55" t="s">
        <v>353</v>
      </c>
      <c r="N51" s="53">
        <f>N49+N50</f>
        <v>555.48883293065956</v>
      </c>
      <c r="O51" s="55" t="s">
        <v>317</v>
      </c>
    </row>
    <row r="53" spans="2:15" ht="15" x14ac:dyDescent="0.25">
      <c r="H53" s="55" t="s">
        <v>316</v>
      </c>
      <c r="I53" s="53"/>
      <c r="J53" s="53"/>
      <c r="K53" s="53"/>
      <c r="L53" s="53"/>
      <c r="M53" s="55" t="s">
        <v>354</v>
      </c>
      <c r="N53" s="53">
        <f>N51-N48</f>
        <v>546.89373774025341</v>
      </c>
      <c r="O53" s="55" t="s">
        <v>317</v>
      </c>
    </row>
    <row r="55" spans="2:15" ht="15" x14ac:dyDescent="0.25">
      <c r="H55" s="53" t="s">
        <v>334</v>
      </c>
      <c r="I55" s="53"/>
      <c r="J55" s="53"/>
      <c r="K55" s="53"/>
      <c r="L55" s="53"/>
      <c r="M55" s="53"/>
      <c r="N55" s="54">
        <f>J33*N45/(1000*C28)</f>
        <v>3.7795714773135943E-3</v>
      </c>
      <c r="O55" s="53" t="s">
        <v>337</v>
      </c>
    </row>
    <row r="56" spans="2:15" ht="15" x14ac:dyDescent="0.25">
      <c r="H56" s="53" t="s">
        <v>338</v>
      </c>
      <c r="I56" s="53"/>
      <c r="J56" s="53"/>
      <c r="K56" s="53"/>
      <c r="L56" s="53"/>
      <c r="M56" s="53"/>
      <c r="N56" s="53">
        <f>J34*N46/(1000*C28)</f>
        <v>6.8439003024739486E-4</v>
      </c>
      <c r="O56" s="53" t="s">
        <v>337</v>
      </c>
    </row>
    <row r="57" spans="2:15" ht="15" x14ac:dyDescent="0.25">
      <c r="H57" s="53" t="s">
        <v>339</v>
      </c>
      <c r="I57" s="53"/>
      <c r="J57" s="53"/>
      <c r="K57" s="53"/>
      <c r="L57" s="53"/>
      <c r="M57" s="53" t="s">
        <v>355</v>
      </c>
      <c r="N57" s="53">
        <f>J39*N47/(1000*C28)</f>
        <v>0.1014955178896256</v>
      </c>
      <c r="O57" s="53" t="s">
        <v>337</v>
      </c>
    </row>
    <row r="58" spans="2:15" ht="15" x14ac:dyDescent="0.25">
      <c r="H58" s="55" t="s">
        <v>340</v>
      </c>
      <c r="I58" s="53"/>
      <c r="J58" s="55"/>
      <c r="K58" s="53"/>
      <c r="L58" s="53"/>
      <c r="M58" s="55" t="s">
        <v>356</v>
      </c>
      <c r="N58" s="54">
        <f>N57+N56+N55</f>
        <v>0.1059594793971866</v>
      </c>
      <c r="O58" s="55" t="s">
        <v>337</v>
      </c>
    </row>
    <row r="59" spans="2:15" ht="15" x14ac:dyDescent="0.25">
      <c r="H59" s="55" t="s">
        <v>341</v>
      </c>
      <c r="I59" s="53"/>
      <c r="J59" s="53"/>
      <c r="K59" s="53"/>
      <c r="L59" s="53"/>
      <c r="M59" s="55" t="s">
        <v>357</v>
      </c>
      <c r="N59" s="53">
        <f>J25*N51/1000</f>
        <v>6.9665937620957514</v>
      </c>
      <c r="O59" s="55" t="s">
        <v>337</v>
      </c>
    </row>
    <row r="61" spans="2:15" ht="15" x14ac:dyDescent="0.25">
      <c r="H61" s="55" t="s">
        <v>342</v>
      </c>
      <c r="I61" s="53"/>
      <c r="J61" s="53"/>
      <c r="K61" s="53"/>
      <c r="L61" s="53"/>
      <c r="M61" s="55" t="s">
        <v>358</v>
      </c>
      <c r="N61" s="53">
        <f>N59*C27-N58</f>
        <v>6.651636469835692</v>
      </c>
      <c r="O61" s="55" t="s">
        <v>337</v>
      </c>
    </row>
    <row r="63" spans="2:15" ht="15" x14ac:dyDescent="0.25">
      <c r="H63" s="55" t="s">
        <v>343</v>
      </c>
      <c r="I63" s="53"/>
      <c r="J63" s="53"/>
      <c r="K63" s="53"/>
      <c r="L63" s="53"/>
      <c r="M63" s="55" t="s">
        <v>359</v>
      </c>
      <c r="N63" s="53">
        <f>J28*(M28-M34)/1000</f>
        <v>8.2823976754970161</v>
      </c>
      <c r="O63" s="55" t="s">
        <v>337</v>
      </c>
    </row>
    <row r="64" spans="2:15" ht="15" x14ac:dyDescent="0.25">
      <c r="H64" s="55" t="s">
        <v>344</v>
      </c>
      <c r="I64" s="53"/>
      <c r="J64" s="53"/>
      <c r="K64" s="53"/>
      <c r="L64" s="53"/>
      <c r="M64" s="55" t="s">
        <v>296</v>
      </c>
      <c r="N64" s="53">
        <f>J32*(M32-M33)/1000</f>
        <v>16.55370467567521</v>
      </c>
      <c r="O64" s="55" t="s">
        <v>337</v>
      </c>
    </row>
    <row r="65" spans="8:15" ht="15" x14ac:dyDescent="0.25">
      <c r="H65" s="55" t="s">
        <v>381</v>
      </c>
      <c r="I65" s="53"/>
      <c r="J65" s="53"/>
      <c r="K65" s="53"/>
      <c r="L65" s="53"/>
      <c r="M65" s="55" t="s">
        <v>360</v>
      </c>
      <c r="N65" s="53">
        <f>N64+N63</f>
        <v>24.836102351172226</v>
      </c>
      <c r="O65" s="55" t="s">
        <v>337</v>
      </c>
    </row>
    <row r="67" spans="8:15" ht="15" x14ac:dyDescent="0.25">
      <c r="H67" s="55" t="s">
        <v>361</v>
      </c>
      <c r="I67" s="53"/>
      <c r="J67" s="53"/>
      <c r="K67" s="53"/>
      <c r="L67" s="53"/>
      <c r="M67" s="55" t="s">
        <v>362</v>
      </c>
      <c r="N67" s="53">
        <f>J25</f>
        <v>12.541375</v>
      </c>
      <c r="O67" s="55" t="s">
        <v>246</v>
      </c>
    </row>
    <row r="69" spans="8:15" ht="15" x14ac:dyDescent="0.25">
      <c r="H69" s="53" t="s">
        <v>363</v>
      </c>
      <c r="I69" s="53"/>
      <c r="J69" s="53"/>
      <c r="K69" s="53"/>
      <c r="L69" s="53"/>
      <c r="M69" s="53" t="s">
        <v>365</v>
      </c>
      <c r="N69" s="53">
        <f>(1/0.23)*((8*C40)/3+8*C41-C42)</f>
        <v>6.36231884057971</v>
      </c>
      <c r="O69" s="53"/>
    </row>
    <row r="70" spans="8:15" ht="15" x14ac:dyDescent="0.25">
      <c r="H70" s="53" t="s">
        <v>366</v>
      </c>
      <c r="I70" s="53"/>
      <c r="J70" s="53"/>
      <c r="K70" s="53"/>
      <c r="L70" s="53"/>
      <c r="M70" s="53" t="s">
        <v>364</v>
      </c>
      <c r="N70" s="53">
        <f>N69*(1+C46)</f>
        <v>8.2710144927536238</v>
      </c>
      <c r="O70" s="53"/>
    </row>
    <row r="71" spans="8:15" ht="15" x14ac:dyDescent="0.25">
      <c r="H71" s="55" t="s">
        <v>367</v>
      </c>
      <c r="I71" s="55"/>
      <c r="J71" s="53"/>
      <c r="K71" s="53"/>
      <c r="L71" s="53"/>
      <c r="M71" s="55" t="s">
        <v>376</v>
      </c>
      <c r="N71" s="53">
        <f>N67*(M25-M41)/(C38*C47*1000)</f>
        <v>1.7933438999126421</v>
      </c>
      <c r="O71" s="55" t="s">
        <v>246</v>
      </c>
    </row>
    <row r="72" spans="8:15" ht="15" x14ac:dyDescent="0.25">
      <c r="H72" s="55" t="s">
        <v>368</v>
      </c>
      <c r="I72" s="53"/>
      <c r="J72" s="53"/>
      <c r="K72" s="53"/>
      <c r="L72" s="53"/>
      <c r="M72" s="55" t="s">
        <v>377</v>
      </c>
      <c r="N72" s="53">
        <f>N71*N70</f>
        <v>14.832773386668768</v>
      </c>
      <c r="O72" s="55" t="s">
        <v>246</v>
      </c>
    </row>
    <row r="73" spans="8:15" ht="15" x14ac:dyDescent="0.25">
      <c r="H73" s="55" t="s">
        <v>369</v>
      </c>
      <c r="I73" s="53"/>
      <c r="J73" s="53"/>
      <c r="K73" s="53"/>
      <c r="L73" s="53"/>
      <c r="M73" s="55" t="s">
        <v>378</v>
      </c>
      <c r="N73" s="53">
        <f>N72+N71</f>
        <v>16.626117286581408</v>
      </c>
      <c r="O73" s="55" t="s">
        <v>246</v>
      </c>
    </row>
    <row r="74" spans="8:15" ht="15" x14ac:dyDescent="0.25">
      <c r="H74" s="53" t="s">
        <v>370</v>
      </c>
      <c r="I74" s="53"/>
      <c r="J74" s="53"/>
      <c r="K74" s="53"/>
      <c r="L74" s="53"/>
      <c r="M74" s="53" t="s">
        <v>379</v>
      </c>
      <c r="N74" s="53">
        <f>N71*C38</f>
        <v>35.866877998252839</v>
      </c>
      <c r="O74" s="53" t="s">
        <v>337</v>
      </c>
    </row>
    <row r="75" spans="8:15" ht="15" x14ac:dyDescent="0.25">
      <c r="H75" s="55" t="s">
        <v>371</v>
      </c>
      <c r="I75" s="53"/>
      <c r="J75" s="53"/>
      <c r="K75" s="53"/>
      <c r="L75" s="53"/>
      <c r="M75" s="55" t="s">
        <v>380</v>
      </c>
      <c r="N75" s="53">
        <f>N65/N61</f>
        <v>3.7338333902943623</v>
      </c>
      <c r="O75" s="53"/>
    </row>
    <row r="77" spans="8:15" ht="15" x14ac:dyDescent="0.25">
      <c r="H77" s="55" t="s">
        <v>373</v>
      </c>
      <c r="I77" s="53"/>
      <c r="J77" s="53"/>
      <c r="K77" s="53"/>
      <c r="L77" s="53"/>
      <c r="M77" s="55" t="s">
        <v>382</v>
      </c>
      <c r="N77" s="54">
        <f>N59-N61-N58</f>
        <v>0.20899781286287283</v>
      </c>
      <c r="O77" s="55" t="s">
        <v>337</v>
      </c>
    </row>
    <row r="79" spans="8:15" x14ac:dyDescent="0.2">
      <c r="H79" s="77" t="s">
        <v>372</v>
      </c>
      <c r="I79" s="78"/>
      <c r="J79" s="78"/>
      <c r="K79" s="78"/>
    </row>
    <row r="80" spans="8:15" ht="15" x14ac:dyDescent="0.25">
      <c r="H80" s="83" t="s">
        <v>383</v>
      </c>
      <c r="I80" s="83"/>
      <c r="J80" s="83"/>
      <c r="K80" s="83"/>
      <c r="L80" s="83"/>
      <c r="M80" s="83"/>
      <c r="N80" s="83">
        <v>330</v>
      </c>
      <c r="O80" s="83" t="s">
        <v>385</v>
      </c>
    </row>
    <row r="81" spans="8:15" ht="15" x14ac:dyDescent="0.25">
      <c r="H81" s="83" t="s">
        <v>384</v>
      </c>
      <c r="I81" s="83"/>
      <c r="J81" s="83"/>
      <c r="K81" s="83"/>
      <c r="L81" s="83"/>
      <c r="M81" s="83"/>
      <c r="N81" s="83">
        <v>12</v>
      </c>
      <c r="O81" s="83" t="s">
        <v>386</v>
      </c>
    </row>
    <row r="83" spans="8:15" ht="15" x14ac:dyDescent="0.25">
      <c r="H83" s="83" t="s">
        <v>387</v>
      </c>
      <c r="I83" s="83"/>
      <c r="J83" s="83"/>
      <c r="K83" s="83"/>
      <c r="L83" s="83"/>
      <c r="M83" s="83"/>
      <c r="N83" s="83">
        <f>N81*N80</f>
        <v>3960</v>
      </c>
      <c r="O83" s="83" t="s">
        <v>388</v>
      </c>
    </row>
    <row r="85" spans="8:15" ht="15" x14ac:dyDescent="0.25">
      <c r="H85" s="83" t="s">
        <v>389</v>
      </c>
      <c r="I85" s="83"/>
      <c r="J85" s="83"/>
      <c r="K85" s="83"/>
      <c r="L85" s="83"/>
      <c r="M85" s="83"/>
      <c r="N85" s="83">
        <f>N67*3600*N83*0.000001</f>
        <v>178.78984200000002</v>
      </c>
      <c r="O85" s="83" t="s">
        <v>390</v>
      </c>
    </row>
    <row r="86" spans="8:15" ht="15" x14ac:dyDescent="0.25">
      <c r="H86" s="85" t="s">
        <v>391</v>
      </c>
      <c r="I86" s="83"/>
      <c r="J86" s="83"/>
      <c r="K86" s="83"/>
      <c r="L86" s="83"/>
      <c r="M86" s="85" t="s">
        <v>442</v>
      </c>
      <c r="N86" s="83">
        <f>N85*N53*C27/3600</f>
        <v>26.34602044792452</v>
      </c>
      <c r="O86" s="85" t="s">
        <v>393</v>
      </c>
    </row>
    <row r="88" spans="8:15" ht="15" x14ac:dyDescent="0.25">
      <c r="H88" s="83" t="s">
        <v>392</v>
      </c>
      <c r="I88" s="83"/>
      <c r="J88" s="83"/>
      <c r="K88" s="83"/>
      <c r="L88" s="83"/>
      <c r="M88" s="83"/>
      <c r="N88" s="83">
        <f>N71*3600*N83*0.000001</f>
        <v>25.565910637154627</v>
      </c>
      <c r="O88" s="83" t="s">
        <v>390</v>
      </c>
    </row>
    <row r="89" spans="8:15" ht="15" x14ac:dyDescent="0.25">
      <c r="H89" s="85" t="s">
        <v>439</v>
      </c>
      <c r="I89" s="84"/>
      <c r="J89" s="83"/>
      <c r="K89" s="83"/>
      <c r="L89" s="83"/>
      <c r="M89" s="85" t="s">
        <v>400</v>
      </c>
      <c r="N89" s="83">
        <f>N88*C38*1000/3600</f>
        <v>142.03283687308127</v>
      </c>
      <c r="O89" s="85" t="s">
        <v>393</v>
      </c>
    </row>
    <row r="91" spans="8:15" ht="15" x14ac:dyDescent="0.25">
      <c r="H91" s="83" t="s">
        <v>394</v>
      </c>
      <c r="I91" s="83"/>
      <c r="J91" s="83"/>
      <c r="K91" s="83"/>
      <c r="L91" s="83"/>
      <c r="M91" s="83"/>
      <c r="N91" s="83">
        <f>J28*3600*N83*0.000001</f>
        <v>42.768000000000001</v>
      </c>
      <c r="O91" s="83" t="s">
        <v>390</v>
      </c>
    </row>
    <row r="92" spans="8:15" ht="15" x14ac:dyDescent="0.25">
      <c r="H92" s="83" t="s">
        <v>395</v>
      </c>
      <c r="I92" s="83"/>
      <c r="J92" s="83"/>
      <c r="K92" s="83"/>
      <c r="L92" s="83"/>
      <c r="M92" s="83" t="s">
        <v>359</v>
      </c>
      <c r="N92" s="83">
        <f>N91*(M28-M34)/3600</f>
        <v>32.798294794968179</v>
      </c>
      <c r="O92" s="83" t="s">
        <v>393</v>
      </c>
    </row>
    <row r="94" spans="8:15" ht="15" x14ac:dyDescent="0.25">
      <c r="H94" s="83" t="s">
        <v>396</v>
      </c>
      <c r="I94" s="83"/>
      <c r="J94" s="83"/>
      <c r="K94" s="83"/>
      <c r="L94" s="83"/>
      <c r="M94" s="83"/>
      <c r="N94" s="83">
        <f>J32*3600*N83*0.000001</f>
        <v>99.792000000000002</v>
      </c>
      <c r="O94" s="83" t="s">
        <v>390</v>
      </c>
    </row>
    <row r="95" spans="8:15" ht="15" x14ac:dyDescent="0.25">
      <c r="H95" s="83" t="s">
        <v>397</v>
      </c>
      <c r="I95" s="83"/>
      <c r="J95" s="83"/>
      <c r="K95" s="83"/>
      <c r="L95" s="83"/>
      <c r="M95" s="83" t="s">
        <v>296</v>
      </c>
      <c r="N95" s="83">
        <f>N94*(M32-M33)/3600</f>
        <v>65.552670515673839</v>
      </c>
      <c r="O95" s="83" t="s">
        <v>393</v>
      </c>
    </row>
    <row r="97" spans="8:15" ht="15" x14ac:dyDescent="0.25">
      <c r="H97" s="85" t="s">
        <v>398</v>
      </c>
      <c r="I97" s="83"/>
      <c r="J97" s="83"/>
      <c r="K97" s="83"/>
      <c r="L97" s="83"/>
      <c r="M97" s="85" t="s">
        <v>399</v>
      </c>
      <c r="N97" s="83">
        <f>N92+N95</f>
        <v>98.35096531064201</v>
      </c>
      <c r="O97" s="85" t="s">
        <v>393</v>
      </c>
    </row>
    <row r="99" spans="8:15" x14ac:dyDescent="0.2">
      <c r="H99" t="s">
        <v>401</v>
      </c>
      <c r="L99" s="79"/>
      <c r="M99" t="s">
        <v>402</v>
      </c>
      <c r="N99" s="81">
        <f>(N86+N97)/N89</f>
        <v>0.87794476618103579</v>
      </c>
    </row>
    <row r="100" spans="8:15" x14ac:dyDescent="0.2">
      <c r="H100" t="s">
        <v>403</v>
      </c>
      <c r="L100" s="80"/>
      <c r="M100" t="s">
        <v>404</v>
      </c>
      <c r="N100" s="82">
        <v>0.8</v>
      </c>
    </row>
    <row r="101" spans="8:15" x14ac:dyDescent="0.2">
      <c r="H101" t="s">
        <v>405</v>
      </c>
    </row>
    <row r="103" spans="8:15" x14ac:dyDescent="0.2">
      <c r="H103" t="s">
        <v>406</v>
      </c>
      <c r="L103" s="79"/>
      <c r="M103" t="s">
        <v>407</v>
      </c>
      <c r="N103" s="81">
        <f>N86/N89</f>
        <v>0.18549246095441288</v>
      </c>
    </row>
    <row r="105" spans="8:15" x14ac:dyDescent="0.2">
      <c r="H105" t="s">
        <v>408</v>
      </c>
      <c r="L105" s="79"/>
      <c r="M105" t="s">
        <v>409</v>
      </c>
      <c r="N105" s="81">
        <f>N97/N89</f>
        <v>0.69245230522662293</v>
      </c>
    </row>
    <row r="107" spans="8:15" x14ac:dyDescent="0.2">
      <c r="H107" t="s">
        <v>410</v>
      </c>
    </row>
    <row r="109" spans="8:15" x14ac:dyDescent="0.2">
      <c r="H109" s="2" t="s">
        <v>440</v>
      </c>
    </row>
    <row r="110" spans="8:15" x14ac:dyDescent="0.2">
      <c r="H110" t="s">
        <v>411</v>
      </c>
    </row>
    <row r="111" spans="8:15" x14ac:dyDescent="0.2">
      <c r="H111" s="2" t="s">
        <v>441</v>
      </c>
    </row>
    <row r="113" spans="8:15" x14ac:dyDescent="0.2">
      <c r="H113" t="s">
        <v>412</v>
      </c>
      <c r="M113" t="s">
        <v>413</v>
      </c>
      <c r="N113">
        <f>h_pt(1.013,15)</f>
        <v>63.079007638660293</v>
      </c>
      <c r="O113" t="s">
        <v>17</v>
      </c>
    </row>
    <row r="114" spans="8:15" x14ac:dyDescent="0.2">
      <c r="H114" t="s">
        <v>414</v>
      </c>
      <c r="M114" t="s">
        <v>415</v>
      </c>
    </row>
    <row r="115" spans="8:15" x14ac:dyDescent="0.2">
      <c r="H115" t="s">
        <v>416</v>
      </c>
      <c r="M115" t="s">
        <v>417</v>
      </c>
    </row>
    <row r="117" spans="8:15" x14ac:dyDescent="0.2">
      <c r="H117" t="s">
        <v>418</v>
      </c>
      <c r="L117" s="79"/>
      <c r="M117" t="s">
        <v>419</v>
      </c>
      <c r="N117" s="81">
        <f>(N86+N115*N97)/N89</f>
        <v>0.18549246095441288</v>
      </c>
    </row>
    <row r="119" spans="8:15" x14ac:dyDescent="0.2">
      <c r="H119" t="s">
        <v>420</v>
      </c>
      <c r="L119" s="79"/>
      <c r="M119" t="s">
        <v>421</v>
      </c>
      <c r="N119" s="86">
        <v>0.37</v>
      </c>
    </row>
    <row r="120" spans="8:15" x14ac:dyDescent="0.2">
      <c r="H120" t="s">
        <v>422</v>
      </c>
      <c r="L120" s="79"/>
      <c r="M120" t="s">
        <v>423</v>
      </c>
      <c r="N120" s="82">
        <v>0.85</v>
      </c>
    </row>
    <row r="121" spans="8:15" x14ac:dyDescent="0.2">
      <c r="H121" t="s">
        <v>424</v>
      </c>
      <c r="L121" s="79"/>
      <c r="M121" t="s">
        <v>424</v>
      </c>
    </row>
    <row r="122" spans="8:15" x14ac:dyDescent="0.2">
      <c r="H122" t="s">
        <v>425</v>
      </c>
      <c r="L122" s="79"/>
      <c r="M122" t="s">
        <v>425</v>
      </c>
    </row>
    <row r="125" spans="8:15" x14ac:dyDescent="0.2">
      <c r="H125" t="s">
        <v>426</v>
      </c>
    </row>
    <row r="126" spans="8:15" x14ac:dyDescent="0.2">
      <c r="H126" t="s">
        <v>427</v>
      </c>
      <c r="O126" t="s">
        <v>428</v>
      </c>
    </row>
    <row r="128" spans="8:15" x14ac:dyDescent="0.2">
      <c r="H128" t="s">
        <v>429</v>
      </c>
      <c r="M128" t="s">
        <v>430</v>
      </c>
      <c r="O128" t="s">
        <v>428</v>
      </c>
    </row>
    <row r="129" spans="8:15" x14ac:dyDescent="0.2">
      <c r="H129" t="s">
        <v>431</v>
      </c>
      <c r="M129" t="s">
        <v>432</v>
      </c>
      <c r="O129" t="s">
        <v>433</v>
      </c>
    </row>
    <row r="130" spans="8:15" x14ac:dyDescent="0.2">
      <c r="H130" t="s">
        <v>434</v>
      </c>
      <c r="M130" t="s">
        <v>435</v>
      </c>
      <c r="O130" t="s">
        <v>433</v>
      </c>
    </row>
    <row r="132" spans="8:15" x14ac:dyDescent="0.2">
      <c r="H132" t="s">
        <v>436</v>
      </c>
      <c r="M132" t="s">
        <v>437</v>
      </c>
      <c r="O132" t="s">
        <v>438</v>
      </c>
    </row>
  </sheetData>
  <phoneticPr fontId="9" type="noConversion"/>
  <pageMargins left="0.7" right="0.7" top="0.75" bottom="0.75" header="0.3" footer="0.3"/>
  <pageSetup paperSize="9" orientation="portrait" horizontalDpi="360" verticalDpi="360" r:id="rId1"/>
  <ignoredErrors>
    <ignoredError sqref="O37:P37 P40 P31 P28" formula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1C54E1E501C494599DD22172C67087F" ma:contentTypeVersion="4" ma:contentTypeDescription="Creare un nuovo documento." ma:contentTypeScope="" ma:versionID="f513ed4acc6bac2316ebd7766f1b1c4e">
  <xsd:schema xmlns:xsd="http://www.w3.org/2001/XMLSchema" xmlns:xs="http://www.w3.org/2001/XMLSchema" xmlns:p="http://schemas.microsoft.com/office/2006/metadata/properties" xmlns:ns2="507378df-4b21-4b0f-a0aa-56f9cceae5ca" targetNamespace="http://schemas.microsoft.com/office/2006/metadata/properties" ma:root="true" ma:fieldsID="8ec9f28e0498f04ea7c75b724dce61de" ns2:_="">
    <xsd:import namespace="507378df-4b21-4b0f-a0aa-56f9cceae5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7378df-4b21-4b0f-a0aa-56f9cceae5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62F015-5B77-4C73-B5CB-1EA0B0B618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7378df-4b21-4b0f-a0aa-56f9cceae5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FF188E-7B9C-4B6A-AEE8-8D1254607BD6}">
  <ds:schemaRefs>
    <ds:schemaRef ds:uri="http://purl.org/dc/elements/1.1/"/>
    <ds:schemaRef ds:uri="507378df-4b21-4b0f-a0aa-56f9cceae5ca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8693345-D2CB-40FC-8FDD-87E045AE93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Properties</vt:lpstr>
      <vt:lpstr>Functions</vt:lpstr>
      <vt:lpstr>Design_IVCOG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Casa</cp:lastModifiedBy>
  <cp:revision/>
  <dcterms:created xsi:type="dcterms:W3CDTF">1996-10-14T23:33:28Z</dcterms:created>
  <dcterms:modified xsi:type="dcterms:W3CDTF">2023-06-29T18:17:02Z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0x01010091C54E1E501C494599DD22172C67087F</vt:lpwstr>
  </property>
</Properties>
</file>